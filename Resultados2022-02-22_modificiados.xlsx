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Hp\.spyder-py3\TFG Electrica\Programa coche moviendose - versión2\"/>
    </mc:Choice>
  </mc:AlternateContent>
  <xr:revisionPtr revIDLastSave="0" documentId="13_ncr:1_{319B2D80-69BF-4A69-A251-74893D3C037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2" i="1"/>
  <c r="AE66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2" i="1"/>
  <c r="AD66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2" i="1"/>
  <c r="AC66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2" i="1"/>
</calcChain>
</file>

<file path=xl/sharedStrings.xml><?xml version="1.0" encoding="utf-8"?>
<sst xmlns="http://schemas.openxmlformats.org/spreadsheetml/2006/main" count="218" uniqueCount="174">
  <si>
    <t>HORA_DIA</t>
  </si>
  <si>
    <t>TEMP_AIR</t>
  </si>
  <si>
    <t>WIND_SPEED</t>
  </si>
  <si>
    <t>LATITUD</t>
  </si>
  <si>
    <t>LONGITUD</t>
  </si>
  <si>
    <t>ALTITUD</t>
  </si>
  <si>
    <t>theta_z_1</t>
  </si>
  <si>
    <t>theta_t_1</t>
  </si>
  <si>
    <t>I_sup_pv</t>
  </si>
  <si>
    <t>I_sup_sens</t>
  </si>
  <si>
    <t>theta_z_2</t>
  </si>
  <si>
    <t>theta_t_2</t>
  </si>
  <si>
    <t>I_front_pv</t>
  </si>
  <si>
    <t>I_front_sens</t>
  </si>
  <si>
    <t>theta_z_3</t>
  </si>
  <si>
    <t>theta_t_3</t>
  </si>
  <si>
    <t>I_tras_pv</t>
  </si>
  <si>
    <t>I_tras_sens</t>
  </si>
  <si>
    <t>theta_z_4</t>
  </si>
  <si>
    <t>theta_t_4</t>
  </si>
  <si>
    <t>I_der_pv</t>
  </si>
  <si>
    <t>I_der_sens</t>
  </si>
  <si>
    <t>theta_z_5</t>
  </si>
  <si>
    <t>theta_t_5</t>
  </si>
  <si>
    <t>I_izq_pv</t>
  </si>
  <si>
    <t>I_izq_sens</t>
  </si>
  <si>
    <t>2022-02-22 15:27:45</t>
  </si>
  <si>
    <t>15.578</t>
  </si>
  <si>
    <t>1.299</t>
  </si>
  <si>
    <t>2022-02-22 15:28:44</t>
  </si>
  <si>
    <t>15.546</t>
  </si>
  <si>
    <t>1.138</t>
  </si>
  <si>
    <t>2022-02-22 15:29:44</t>
  </si>
  <si>
    <t>15.689</t>
  </si>
  <si>
    <t>0.825</t>
  </si>
  <si>
    <t>2022-02-22 15:30:45</t>
  </si>
  <si>
    <t>15.745</t>
  </si>
  <si>
    <t>0.463</t>
  </si>
  <si>
    <t>2022-02-22 15:31:44</t>
  </si>
  <si>
    <t>15.765</t>
  </si>
  <si>
    <t>0.712</t>
  </si>
  <si>
    <t>2022-02-22 15:32:44</t>
  </si>
  <si>
    <t>16.276</t>
  </si>
  <si>
    <t>1.080</t>
  </si>
  <si>
    <t>2022-02-22 15:33:43</t>
  </si>
  <si>
    <t>16.702</t>
  </si>
  <si>
    <t>0.988</t>
  </si>
  <si>
    <t>2022-02-22 15:34:44</t>
  </si>
  <si>
    <t>16.532</t>
  </si>
  <si>
    <t>0.896</t>
  </si>
  <si>
    <t>2022-02-22 15:35:44</t>
  </si>
  <si>
    <t>16.751</t>
  </si>
  <si>
    <t>0.895</t>
  </si>
  <si>
    <t>2022-02-22 15:36:43</t>
  </si>
  <si>
    <t>17.051</t>
  </si>
  <si>
    <t>0.745</t>
  </si>
  <si>
    <t>2022-02-22 15:37:43</t>
  </si>
  <si>
    <t>16.911</t>
  </si>
  <si>
    <t>0.703</t>
  </si>
  <si>
    <t>2022-02-22 15:38:43</t>
  </si>
  <si>
    <t>16.647</t>
  </si>
  <si>
    <t>0.754</t>
  </si>
  <si>
    <t>2022-02-22 15:39:43</t>
  </si>
  <si>
    <t>16.329</t>
  </si>
  <si>
    <t>0.887</t>
  </si>
  <si>
    <t>2022-02-22 15:40:42</t>
  </si>
  <si>
    <t>16.211</t>
  </si>
  <si>
    <t>1.002</t>
  </si>
  <si>
    <t>2022-02-22 15:41:42</t>
  </si>
  <si>
    <t>16.134</t>
  </si>
  <si>
    <t>0.831</t>
  </si>
  <si>
    <t>2022-02-22 15:42:42</t>
  </si>
  <si>
    <t>15.963</t>
  </si>
  <si>
    <t>1.000</t>
  </si>
  <si>
    <t>2022-02-22 15:43:42</t>
  </si>
  <si>
    <t>15.870</t>
  </si>
  <si>
    <t>1.444</t>
  </si>
  <si>
    <t>2022-02-22 15:44:42</t>
  </si>
  <si>
    <t>15.738</t>
  </si>
  <si>
    <t>1.417</t>
  </si>
  <si>
    <t>2022-02-22 15:45:41</t>
  </si>
  <si>
    <t>15.613</t>
  </si>
  <si>
    <t>1.279</t>
  </si>
  <si>
    <t>2022-02-22 16:46:54</t>
  </si>
  <si>
    <t>9.834</t>
  </si>
  <si>
    <t>0.691</t>
  </si>
  <si>
    <t>2022-02-22 16:47:54</t>
  </si>
  <si>
    <t>9.708</t>
  </si>
  <si>
    <t>0.951</t>
  </si>
  <si>
    <t>2022-02-22 16:48:55</t>
  </si>
  <si>
    <t>9.656</t>
  </si>
  <si>
    <t>1.247</t>
  </si>
  <si>
    <t>2022-02-22 16:49:54</t>
  </si>
  <si>
    <t>9.981</t>
  </si>
  <si>
    <t>1.271</t>
  </si>
  <si>
    <t>2022-02-22 16:50:54</t>
  </si>
  <si>
    <t>10.127</t>
  </si>
  <si>
    <t>1.284</t>
  </si>
  <si>
    <t>2022-02-22 16:51:53</t>
  </si>
  <si>
    <t>9.835</t>
  </si>
  <si>
    <t>1.378</t>
  </si>
  <si>
    <t>2022-02-22 16:52:54</t>
  </si>
  <si>
    <t>10.042</t>
  </si>
  <si>
    <t>1.274</t>
  </si>
  <si>
    <t>2022-02-22 16:53:54</t>
  </si>
  <si>
    <t>10.199</t>
  </si>
  <si>
    <t>1.438</t>
  </si>
  <si>
    <t>2022-02-22 16:54:53</t>
  </si>
  <si>
    <t>10.073</t>
  </si>
  <si>
    <t>1.390</t>
  </si>
  <si>
    <t>2022-02-22 16:55:53</t>
  </si>
  <si>
    <t>10.434</t>
  </si>
  <si>
    <t>0.942</t>
  </si>
  <si>
    <t>2022-02-22 17:12:16</t>
  </si>
  <si>
    <t>10.799</t>
  </si>
  <si>
    <t>0.793</t>
  </si>
  <si>
    <t>2022-02-22 17:12:36</t>
  </si>
  <si>
    <t>2022-02-22 17:12:56</t>
  </si>
  <si>
    <t>2022-02-22 17:13:15</t>
  </si>
  <si>
    <t>10.745</t>
  </si>
  <si>
    <t>0.452</t>
  </si>
  <si>
    <t>2022-02-22 17:13:35</t>
  </si>
  <si>
    <t>2022-02-22 17:13:55</t>
  </si>
  <si>
    <t>2022-02-22 17:14:15</t>
  </si>
  <si>
    <t>10.733</t>
  </si>
  <si>
    <t>0.426</t>
  </si>
  <si>
    <t>2022-02-22 17:14:35</t>
  </si>
  <si>
    <t>2022-02-22 17:14:55</t>
  </si>
  <si>
    <t>2022-02-22 17:15:15</t>
  </si>
  <si>
    <t>10.952</t>
  </si>
  <si>
    <t>0.612</t>
  </si>
  <si>
    <t>2022-02-22 17:15:34</t>
  </si>
  <si>
    <t>2022-02-22 17:15:55</t>
  </si>
  <si>
    <t>2022-02-22 17:16:15</t>
  </si>
  <si>
    <t>11.234</t>
  </si>
  <si>
    <t>0.788</t>
  </si>
  <si>
    <t>2022-02-22 17:16:35</t>
  </si>
  <si>
    <t>2022-02-22 17:16:55</t>
  </si>
  <si>
    <t>2022-02-22 17:17:15</t>
  </si>
  <si>
    <t>10.838</t>
  </si>
  <si>
    <t>0.756</t>
  </si>
  <si>
    <t>2022-02-22 17:17:35</t>
  </si>
  <si>
    <t>2022-02-22 17:22:53</t>
  </si>
  <si>
    <t>10.497</t>
  </si>
  <si>
    <t>1.094</t>
  </si>
  <si>
    <t>2022-02-22 17:23:13</t>
  </si>
  <si>
    <t>10.454</t>
  </si>
  <si>
    <t>0.995</t>
  </si>
  <si>
    <t>2022-02-22 17:23:33</t>
  </si>
  <si>
    <t>2022-02-22 17:23:53</t>
  </si>
  <si>
    <t>2022-02-22 17:24:13</t>
  </si>
  <si>
    <t>10.846</t>
  </si>
  <si>
    <t>0.970</t>
  </si>
  <si>
    <t>2022-02-22 17:24:34</t>
  </si>
  <si>
    <t>2022-02-22 17:24:54</t>
  </si>
  <si>
    <t>2022-02-22 17:25:13</t>
  </si>
  <si>
    <t>11.237</t>
  </si>
  <si>
    <t>1.391</t>
  </si>
  <si>
    <t>2022-02-22 17:25:33</t>
  </si>
  <si>
    <t>2022-02-22 17:25:53</t>
  </si>
  <si>
    <t>2022-02-22 17:26:13</t>
  </si>
  <si>
    <t>11.323</t>
  </si>
  <si>
    <t>1.554</t>
  </si>
  <si>
    <t>2022-02-22 17:26:33</t>
  </si>
  <si>
    <t>2022-02-22 17:26:53</t>
  </si>
  <si>
    <t>2022-02-22 17:27:13</t>
  </si>
  <si>
    <t>11.189</t>
  </si>
  <si>
    <t>1.123</t>
  </si>
  <si>
    <t>2022-02-22 17:27:32</t>
  </si>
  <si>
    <t>2022-02-22 17:27:52</t>
  </si>
  <si>
    <t>2022-02-22 17:28:12</t>
  </si>
  <si>
    <t>10.972</t>
  </si>
  <si>
    <t>0.955</t>
  </si>
  <si>
    <t>2022-02-22 17:28:32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</si>
</sst>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3F3F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99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2" fillId="4" borderId="2" xfId="1" applyFill="1"/>
    <xf numFmtId="0" fontId="2" fillId="3" borderId="2" xfId="1" applyFill="1"/>
    <xf numFmtId="0" fontId="2" fillId="5" borderId="2" xfId="1" applyFill="1"/>
  </cellXfs>
  <cellStyles count="2">
    <cellStyle name="Normal" xfId="0" builtinId="0"/>
    <cellStyle name="Salida" xfId="1" builtinId="21"/>
  </cellStyles>
  <dxfs count="0"/>
  <tableStyles count="0" defaultTableStyle="TableStyleMedium9" defaultPivotStyle="PivotStyleLight16"/>
  <colors>
    <mruColors>
      <color rgb="FF99FF99"/>
      <color rgb="FFFFFF99"/>
      <color rgb="FFFF99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6"/>
  <sheetViews>
    <sheetView tabSelected="1" topLeftCell="O1" workbookViewId="0">
      <selection activeCell="AG2" sqref="AG2:AG65"/>
    </sheetView>
  </sheetViews>
  <sheetFormatPr baseColWidth="10" defaultColWidth="8.7265625" defaultRowHeight="14.5" x14ac:dyDescent="0.35"/>
  <cols>
    <col min="2" max="2" width="19.6328125" customWidth="1"/>
    <col min="12" max="12" width="8.81640625" customWidth="1"/>
    <col min="13" max="13" width="9.08984375" bestFit="1" customWidth="1"/>
  </cols>
  <sheetData>
    <row r="1" spans="1:3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7</v>
      </c>
      <c r="J1" s="6" t="s">
        <v>8</v>
      </c>
      <c r="K1" s="6" t="s">
        <v>9</v>
      </c>
      <c r="L1" s="5" t="s">
        <v>10</v>
      </c>
      <c r="M1" s="4" t="s">
        <v>11</v>
      </c>
      <c r="N1" s="6" t="s">
        <v>12</v>
      </c>
      <c r="O1" s="6" t="s">
        <v>13</v>
      </c>
      <c r="P1" s="5" t="s">
        <v>14</v>
      </c>
      <c r="Q1" s="1" t="s">
        <v>15</v>
      </c>
      <c r="R1" s="6" t="s">
        <v>16</v>
      </c>
      <c r="S1" s="6" t="s">
        <v>17</v>
      </c>
      <c r="T1" s="1" t="s">
        <v>18</v>
      </c>
      <c r="U1" s="1" t="s">
        <v>19</v>
      </c>
      <c r="V1" s="6" t="s">
        <v>20</v>
      </c>
      <c r="W1" s="6" t="s">
        <v>21</v>
      </c>
      <c r="X1" s="1" t="s">
        <v>22</v>
      </c>
      <c r="Y1" s="1" t="s">
        <v>23</v>
      </c>
      <c r="Z1" s="6" t="s">
        <v>24</v>
      </c>
      <c r="AA1" s="6" t="s">
        <v>25</v>
      </c>
    </row>
    <row r="2" spans="1:33" x14ac:dyDescent="0.35">
      <c r="A2" s="1">
        <v>0</v>
      </c>
      <c r="B2" t="s">
        <v>26</v>
      </c>
      <c r="C2" t="s">
        <v>27</v>
      </c>
      <c r="D2" t="s">
        <v>28</v>
      </c>
      <c r="E2">
        <v>40.453270000000003</v>
      </c>
      <c r="F2">
        <v>-3.7270189999999999</v>
      </c>
      <c r="G2">
        <v>682.10003700000004</v>
      </c>
      <c r="H2">
        <v>0</v>
      </c>
      <c r="I2">
        <v>0</v>
      </c>
      <c r="J2" s="7">
        <v>532.09</v>
      </c>
      <c r="K2" s="7">
        <v>538.07500000000005</v>
      </c>
      <c r="L2">
        <v>0.65501399999999999</v>
      </c>
      <c r="M2">
        <v>15</v>
      </c>
      <c r="N2" s="8">
        <v>349.19400000000002</v>
      </c>
      <c r="O2" s="8">
        <v>317.84699999999998</v>
      </c>
      <c r="P2">
        <v>180.65501399999999</v>
      </c>
      <c r="Q2">
        <v>45</v>
      </c>
      <c r="R2" s="8">
        <v>857.904</v>
      </c>
      <c r="S2" s="8">
        <v>927.68200000000002</v>
      </c>
      <c r="T2">
        <v>90.655013999999994</v>
      </c>
      <c r="U2">
        <v>90</v>
      </c>
      <c r="V2" s="8">
        <v>81.64</v>
      </c>
      <c r="W2" s="8">
        <v>114.41</v>
      </c>
      <c r="X2">
        <v>270.65501399999999</v>
      </c>
      <c r="Y2">
        <v>90</v>
      </c>
      <c r="Z2" s="9">
        <v>532.36</v>
      </c>
      <c r="AA2" s="9">
        <v>679.60500000000002</v>
      </c>
      <c r="AC2">
        <f>ABS(J2-K2)</f>
        <v>5.9850000000000136</v>
      </c>
      <c r="AD2">
        <f>ABS(N2-O2)</f>
        <v>31.347000000000037</v>
      </c>
      <c r="AE2">
        <f>ABS(R2-S2)</f>
        <v>69.77800000000002</v>
      </c>
      <c r="AF2">
        <f>ABS(V2-W2)</f>
        <v>32.769999999999996</v>
      </c>
      <c r="AG2">
        <f>ABS(Z2-AA2)</f>
        <v>147.245</v>
      </c>
    </row>
    <row r="3" spans="1:33" x14ac:dyDescent="0.35">
      <c r="A3" s="1">
        <v>1</v>
      </c>
      <c r="B3" t="s">
        <v>29</v>
      </c>
      <c r="C3" t="s">
        <v>30</v>
      </c>
      <c r="D3" t="s">
        <v>31</v>
      </c>
      <c r="E3">
        <v>40.453270000000003</v>
      </c>
      <c r="F3">
        <v>-3.7270189999999999</v>
      </c>
      <c r="G3">
        <v>682.10003700000004</v>
      </c>
      <c r="H3">
        <v>0</v>
      </c>
      <c r="I3">
        <v>0</v>
      </c>
      <c r="J3" s="7">
        <v>530.12400000000002</v>
      </c>
      <c r="K3" s="7">
        <v>535.84</v>
      </c>
      <c r="L3">
        <v>0.71316400000000002</v>
      </c>
      <c r="M3">
        <v>15</v>
      </c>
      <c r="N3" s="8">
        <v>347.63900000000001</v>
      </c>
      <c r="O3" s="8">
        <v>316.26900000000001</v>
      </c>
      <c r="P3">
        <v>180.71316400000001</v>
      </c>
      <c r="Q3">
        <v>45</v>
      </c>
      <c r="R3" s="8">
        <v>855.47500000000002</v>
      </c>
      <c r="S3" s="8">
        <v>925.21199999999999</v>
      </c>
      <c r="T3">
        <v>90.713164000000006</v>
      </c>
      <c r="U3">
        <v>90</v>
      </c>
      <c r="V3" s="8">
        <v>81.384</v>
      </c>
      <c r="W3" s="8">
        <v>113.858</v>
      </c>
      <c r="X3">
        <v>270.71316400000001</v>
      </c>
      <c r="Y3">
        <v>90</v>
      </c>
      <c r="Z3" s="9">
        <v>534.47699999999998</v>
      </c>
      <c r="AA3" s="9">
        <v>683.93299999999999</v>
      </c>
      <c r="AC3">
        <f t="shared" ref="AC3:AC65" si="0">ABS(J3-K3)</f>
        <v>5.7160000000000082</v>
      </c>
      <c r="AD3">
        <f t="shared" ref="AD3:AD65" si="1">ABS(N3-O3)</f>
        <v>31.370000000000005</v>
      </c>
      <c r="AE3">
        <f t="shared" ref="AE3:AE65" si="2">ABS(R3-S3)</f>
        <v>69.736999999999966</v>
      </c>
      <c r="AF3">
        <f t="shared" ref="AF3:AF65" si="3">ABS(V3-W3)</f>
        <v>32.474000000000004</v>
      </c>
      <c r="AG3">
        <f t="shared" ref="AG3:AG65" si="4">ABS(Z3-AA3)</f>
        <v>149.45600000000002</v>
      </c>
    </row>
    <row r="4" spans="1:33" x14ac:dyDescent="0.35">
      <c r="A4" s="1">
        <v>2</v>
      </c>
      <c r="B4" t="s">
        <v>32</v>
      </c>
      <c r="C4" t="s">
        <v>33</v>
      </c>
      <c r="D4" t="s">
        <v>34</v>
      </c>
      <c r="E4">
        <v>40.453270000000003</v>
      </c>
      <c r="F4">
        <v>-3.7270189999999999</v>
      </c>
      <c r="G4">
        <v>682.10003700000004</v>
      </c>
      <c r="H4">
        <v>0</v>
      </c>
      <c r="I4">
        <v>0</v>
      </c>
      <c r="J4" s="7">
        <v>528.10900000000004</v>
      </c>
      <c r="K4" s="7">
        <v>534.55100000000004</v>
      </c>
      <c r="L4">
        <v>0.73578900000000003</v>
      </c>
      <c r="M4">
        <v>15</v>
      </c>
      <c r="N4" s="8">
        <v>346.12</v>
      </c>
      <c r="O4" s="8">
        <v>315.065</v>
      </c>
      <c r="P4">
        <v>180.73578900000001</v>
      </c>
      <c r="Q4">
        <v>45</v>
      </c>
      <c r="R4" s="8">
        <v>852.78200000000004</v>
      </c>
      <c r="S4" s="8">
        <v>924.07100000000003</v>
      </c>
      <c r="T4">
        <v>90.735788999999997</v>
      </c>
      <c r="U4">
        <v>90</v>
      </c>
      <c r="V4" s="8">
        <v>81.120999999999995</v>
      </c>
      <c r="W4" s="8">
        <v>113.322</v>
      </c>
      <c r="X4">
        <v>270.73578900000001</v>
      </c>
      <c r="Y4">
        <v>90</v>
      </c>
      <c r="Z4" s="9">
        <v>537.02099999999996</v>
      </c>
      <c r="AA4" s="9">
        <v>688.529</v>
      </c>
      <c r="AC4">
        <f t="shared" si="0"/>
        <v>6.4420000000000073</v>
      </c>
      <c r="AD4">
        <f t="shared" si="1"/>
        <v>31.055000000000007</v>
      </c>
      <c r="AE4">
        <f t="shared" si="2"/>
        <v>71.288999999999987</v>
      </c>
      <c r="AF4">
        <f t="shared" si="3"/>
        <v>32.201000000000008</v>
      </c>
      <c r="AG4">
        <f t="shared" si="4"/>
        <v>151.50800000000004</v>
      </c>
    </row>
    <row r="5" spans="1:33" x14ac:dyDescent="0.35">
      <c r="A5" s="1">
        <v>3</v>
      </c>
      <c r="B5" t="s">
        <v>35</v>
      </c>
      <c r="C5" t="s">
        <v>36</v>
      </c>
      <c r="D5" t="s">
        <v>37</v>
      </c>
      <c r="E5">
        <v>40.453270000000003</v>
      </c>
      <c r="F5">
        <v>-3.7270189999999999</v>
      </c>
      <c r="G5">
        <v>682.10003700000004</v>
      </c>
      <c r="H5">
        <v>0</v>
      </c>
      <c r="I5">
        <v>0</v>
      </c>
      <c r="J5" s="7">
        <v>526.04600000000005</v>
      </c>
      <c r="K5" s="7">
        <v>532.46299999999997</v>
      </c>
      <c r="L5">
        <v>0.75392300000000001</v>
      </c>
      <c r="M5">
        <v>15</v>
      </c>
      <c r="N5" s="8">
        <v>344.57499999999999</v>
      </c>
      <c r="O5" s="8">
        <v>313.56799999999998</v>
      </c>
      <c r="P5">
        <v>180.75392299999999</v>
      </c>
      <c r="Q5">
        <v>45</v>
      </c>
      <c r="R5" s="8">
        <v>849.995</v>
      </c>
      <c r="S5" s="8">
        <v>921.80700000000002</v>
      </c>
      <c r="T5">
        <v>90.753923</v>
      </c>
      <c r="U5">
        <v>90</v>
      </c>
      <c r="V5" s="8">
        <v>80.852000000000004</v>
      </c>
      <c r="W5" s="8">
        <v>112.64</v>
      </c>
      <c r="X5">
        <v>270.75392299999999</v>
      </c>
      <c r="Y5">
        <v>90</v>
      </c>
      <c r="Z5" s="9">
        <v>539.64099999999996</v>
      </c>
      <c r="AA5" s="9">
        <v>692.59</v>
      </c>
      <c r="AC5">
        <f t="shared" si="0"/>
        <v>6.4169999999999163</v>
      </c>
      <c r="AD5">
        <f t="shared" si="1"/>
        <v>31.007000000000005</v>
      </c>
      <c r="AE5">
        <f t="shared" si="2"/>
        <v>71.812000000000012</v>
      </c>
      <c r="AF5">
        <f t="shared" si="3"/>
        <v>31.787999999999997</v>
      </c>
      <c r="AG5">
        <f t="shared" si="4"/>
        <v>152.94900000000007</v>
      </c>
    </row>
    <row r="6" spans="1:33" x14ac:dyDescent="0.35">
      <c r="A6" s="1">
        <v>4</v>
      </c>
      <c r="B6" t="s">
        <v>38</v>
      </c>
      <c r="C6" t="s">
        <v>39</v>
      </c>
      <c r="D6" t="s">
        <v>40</v>
      </c>
      <c r="E6">
        <v>40.453270000000003</v>
      </c>
      <c r="F6">
        <v>-3.7270189999999999</v>
      </c>
      <c r="G6">
        <v>682.10003700000004</v>
      </c>
      <c r="H6">
        <v>0</v>
      </c>
      <c r="I6">
        <v>0</v>
      </c>
      <c r="J6" s="7">
        <v>524.03599999999994</v>
      </c>
      <c r="K6" s="7">
        <v>529.20000000000005</v>
      </c>
      <c r="L6">
        <v>0.78613299999999997</v>
      </c>
      <c r="M6">
        <v>15</v>
      </c>
      <c r="N6" s="8">
        <v>343.04</v>
      </c>
      <c r="O6" s="8">
        <v>311.209</v>
      </c>
      <c r="P6">
        <v>180.78613300000001</v>
      </c>
      <c r="Q6">
        <v>45</v>
      </c>
      <c r="R6" s="8">
        <v>847.36400000000003</v>
      </c>
      <c r="S6" s="8">
        <v>917.81600000000003</v>
      </c>
      <c r="T6">
        <v>90.786133000000007</v>
      </c>
      <c r="U6">
        <v>90</v>
      </c>
      <c r="V6" s="8">
        <v>80.59</v>
      </c>
      <c r="W6" s="8">
        <v>111.876</v>
      </c>
      <c r="X6">
        <v>270.78613300000001</v>
      </c>
      <c r="Y6">
        <v>90</v>
      </c>
      <c r="Z6" s="9">
        <v>541.98900000000003</v>
      </c>
      <c r="AA6" s="9">
        <v>695.649</v>
      </c>
      <c r="AC6">
        <f t="shared" si="0"/>
        <v>5.164000000000101</v>
      </c>
      <c r="AD6">
        <f t="shared" si="1"/>
        <v>31.831000000000017</v>
      </c>
      <c r="AE6">
        <f t="shared" si="2"/>
        <v>70.451999999999998</v>
      </c>
      <c r="AF6">
        <f t="shared" si="3"/>
        <v>31.286000000000001</v>
      </c>
      <c r="AG6">
        <f t="shared" si="4"/>
        <v>153.65999999999997</v>
      </c>
    </row>
    <row r="7" spans="1:33" x14ac:dyDescent="0.35">
      <c r="A7" s="1">
        <v>5</v>
      </c>
      <c r="B7" t="s">
        <v>41</v>
      </c>
      <c r="C7" t="s">
        <v>42</v>
      </c>
      <c r="D7" t="s">
        <v>43</v>
      </c>
      <c r="E7">
        <v>40.453270000000003</v>
      </c>
      <c r="F7">
        <v>-3.7270189999999999</v>
      </c>
      <c r="G7">
        <v>682.10003700000004</v>
      </c>
      <c r="H7">
        <v>0</v>
      </c>
      <c r="I7">
        <v>0</v>
      </c>
      <c r="J7" s="7">
        <v>521.97799999999995</v>
      </c>
      <c r="K7" s="7">
        <v>526.46</v>
      </c>
      <c r="L7">
        <v>0.80859899999999996</v>
      </c>
      <c r="M7">
        <v>15</v>
      </c>
      <c r="N7" s="8">
        <v>341.48899999999998</v>
      </c>
      <c r="O7" s="8">
        <v>309.029</v>
      </c>
      <c r="P7">
        <v>180.80859899999999</v>
      </c>
      <c r="Q7">
        <v>45</v>
      </c>
      <c r="R7" s="8">
        <v>844.60900000000004</v>
      </c>
      <c r="S7" s="8">
        <v>914.12599999999998</v>
      </c>
      <c r="T7">
        <v>90.808599000000001</v>
      </c>
      <c r="U7">
        <v>90</v>
      </c>
      <c r="V7" s="8">
        <v>80.322000000000003</v>
      </c>
      <c r="W7" s="8">
        <v>111.06399999999999</v>
      </c>
      <c r="X7">
        <v>270.80859900000002</v>
      </c>
      <c r="Y7">
        <v>90</v>
      </c>
      <c r="Z7" s="9">
        <v>544.471</v>
      </c>
      <c r="AA7" s="9">
        <v>698.55</v>
      </c>
      <c r="AC7">
        <f t="shared" si="0"/>
        <v>4.4820000000000846</v>
      </c>
      <c r="AD7">
        <f t="shared" si="1"/>
        <v>32.45999999999998</v>
      </c>
      <c r="AE7">
        <f t="shared" si="2"/>
        <v>69.516999999999939</v>
      </c>
      <c r="AF7">
        <f t="shared" si="3"/>
        <v>30.74199999999999</v>
      </c>
      <c r="AG7">
        <f t="shared" si="4"/>
        <v>154.07899999999995</v>
      </c>
    </row>
    <row r="8" spans="1:33" x14ac:dyDescent="0.35">
      <c r="A8" s="1">
        <v>6</v>
      </c>
      <c r="B8" t="s">
        <v>44</v>
      </c>
      <c r="C8" t="s">
        <v>45</v>
      </c>
      <c r="D8" t="s">
        <v>46</v>
      </c>
      <c r="E8">
        <v>40.453270000000003</v>
      </c>
      <c r="F8">
        <v>-3.7270189999999999</v>
      </c>
      <c r="G8">
        <v>682.10003700000004</v>
      </c>
      <c r="H8">
        <v>0</v>
      </c>
      <c r="I8">
        <v>0</v>
      </c>
      <c r="J8" s="7">
        <v>519.93899999999996</v>
      </c>
      <c r="K8" s="7">
        <v>523.279</v>
      </c>
      <c r="L8">
        <v>0.79994900000000002</v>
      </c>
      <c r="M8">
        <v>15</v>
      </c>
      <c r="N8" s="8">
        <v>340.01799999999997</v>
      </c>
      <c r="O8" s="8">
        <v>306.91399999999999</v>
      </c>
      <c r="P8">
        <v>180.799949</v>
      </c>
      <c r="Q8">
        <v>45</v>
      </c>
      <c r="R8" s="8">
        <v>841.70399999999995</v>
      </c>
      <c r="S8" s="8">
        <v>911.05399999999997</v>
      </c>
      <c r="T8">
        <v>90.799948999999998</v>
      </c>
      <c r="U8">
        <v>90</v>
      </c>
      <c r="V8" s="8">
        <v>80.055999999999997</v>
      </c>
      <c r="W8" s="8">
        <v>110.60899999999999</v>
      </c>
      <c r="X8">
        <v>270.79994900000003</v>
      </c>
      <c r="Y8">
        <v>90</v>
      </c>
      <c r="Z8" s="9">
        <v>547.23199999999997</v>
      </c>
      <c r="AA8" s="9">
        <v>701.46699999999998</v>
      </c>
      <c r="AC8">
        <f t="shared" si="0"/>
        <v>3.3400000000000318</v>
      </c>
      <c r="AD8">
        <f t="shared" si="1"/>
        <v>33.103999999999985</v>
      </c>
      <c r="AE8">
        <f t="shared" si="2"/>
        <v>69.350000000000023</v>
      </c>
      <c r="AF8">
        <f t="shared" si="3"/>
        <v>30.552999999999997</v>
      </c>
      <c r="AG8">
        <f t="shared" si="4"/>
        <v>154.23500000000001</v>
      </c>
    </row>
    <row r="9" spans="1:33" x14ac:dyDescent="0.35">
      <c r="A9" s="1">
        <v>7</v>
      </c>
      <c r="B9" t="s">
        <v>47</v>
      </c>
      <c r="C9" t="s">
        <v>48</v>
      </c>
      <c r="D9" t="s">
        <v>49</v>
      </c>
      <c r="E9">
        <v>40.453270000000003</v>
      </c>
      <c r="F9">
        <v>-3.7270189999999999</v>
      </c>
      <c r="G9">
        <v>682.10003700000004</v>
      </c>
      <c r="H9">
        <v>0</v>
      </c>
      <c r="I9">
        <v>0</v>
      </c>
      <c r="J9" s="7">
        <v>517.81700000000001</v>
      </c>
      <c r="K9" s="7">
        <v>521.07600000000002</v>
      </c>
      <c r="L9">
        <v>0.81450699999999998</v>
      </c>
      <c r="M9">
        <v>15</v>
      </c>
      <c r="N9" s="8">
        <v>338.43799999999999</v>
      </c>
      <c r="O9" s="8">
        <v>304.92899999999997</v>
      </c>
      <c r="P9">
        <v>180.81450699999999</v>
      </c>
      <c r="Q9">
        <v>45</v>
      </c>
      <c r="R9" s="8">
        <v>838.81399999999996</v>
      </c>
      <c r="S9" s="8">
        <v>908.56799999999998</v>
      </c>
      <c r="T9">
        <v>90.814507000000006</v>
      </c>
      <c r="U9">
        <v>90</v>
      </c>
      <c r="V9" s="8">
        <v>79.778999999999996</v>
      </c>
      <c r="W9" s="8">
        <v>110.85299999999999</v>
      </c>
      <c r="X9">
        <v>270.81450699999999</v>
      </c>
      <c r="Y9">
        <v>90</v>
      </c>
      <c r="Z9" s="9">
        <v>549.80200000000002</v>
      </c>
      <c r="AA9" s="9">
        <v>704.91800000000001</v>
      </c>
      <c r="AC9">
        <f t="shared" si="0"/>
        <v>3.2590000000000146</v>
      </c>
      <c r="AD9">
        <f t="shared" si="1"/>
        <v>33.509000000000015</v>
      </c>
      <c r="AE9">
        <f t="shared" si="2"/>
        <v>69.754000000000019</v>
      </c>
      <c r="AF9">
        <f t="shared" si="3"/>
        <v>31.073999999999998</v>
      </c>
      <c r="AG9">
        <f t="shared" si="4"/>
        <v>155.11599999999999</v>
      </c>
    </row>
    <row r="10" spans="1:33" x14ac:dyDescent="0.35">
      <c r="A10" s="1">
        <v>8</v>
      </c>
      <c r="B10" t="s">
        <v>50</v>
      </c>
      <c r="C10" t="s">
        <v>51</v>
      </c>
      <c r="D10" t="s">
        <v>52</v>
      </c>
      <c r="E10">
        <v>40.453270000000003</v>
      </c>
      <c r="F10">
        <v>-3.7270189999999999</v>
      </c>
      <c r="G10">
        <v>682.10003700000004</v>
      </c>
      <c r="H10">
        <v>0</v>
      </c>
      <c r="I10">
        <v>0</v>
      </c>
      <c r="J10" s="7">
        <v>515.71500000000003</v>
      </c>
      <c r="K10" s="7">
        <v>519.02099999999996</v>
      </c>
      <c r="L10">
        <v>0.812782</v>
      </c>
      <c r="M10">
        <v>15</v>
      </c>
      <c r="N10" s="8">
        <v>336.90699999999998</v>
      </c>
      <c r="O10" s="8">
        <v>303.48</v>
      </c>
      <c r="P10">
        <v>180.812782</v>
      </c>
      <c r="Q10">
        <v>45</v>
      </c>
      <c r="R10" s="8">
        <v>835.85599999999999</v>
      </c>
      <c r="S10" s="8">
        <v>906.52499999999998</v>
      </c>
      <c r="T10">
        <v>90.812781999999999</v>
      </c>
      <c r="U10">
        <v>90</v>
      </c>
      <c r="V10" s="8">
        <v>79.504999999999995</v>
      </c>
      <c r="W10" s="8">
        <v>110.268</v>
      </c>
      <c r="X10">
        <v>270.81278200000003</v>
      </c>
      <c r="Y10">
        <v>90</v>
      </c>
      <c r="Z10" s="9">
        <v>552.48400000000004</v>
      </c>
      <c r="AA10" s="9">
        <v>708.80700000000002</v>
      </c>
      <c r="AC10">
        <f t="shared" si="0"/>
        <v>3.3059999999999263</v>
      </c>
      <c r="AD10">
        <f t="shared" si="1"/>
        <v>33.426999999999964</v>
      </c>
      <c r="AE10">
        <f t="shared" si="2"/>
        <v>70.668999999999983</v>
      </c>
      <c r="AF10">
        <f t="shared" si="3"/>
        <v>30.763000000000005</v>
      </c>
      <c r="AG10">
        <f t="shared" si="4"/>
        <v>156.32299999999998</v>
      </c>
    </row>
    <row r="11" spans="1:33" x14ac:dyDescent="0.35">
      <c r="A11" s="1">
        <v>9</v>
      </c>
      <c r="B11" t="s">
        <v>53</v>
      </c>
      <c r="C11" t="s">
        <v>54</v>
      </c>
      <c r="D11" t="s">
        <v>55</v>
      </c>
      <c r="E11">
        <v>40.453270000000003</v>
      </c>
      <c r="F11">
        <v>-3.7270189999999999</v>
      </c>
      <c r="G11">
        <v>682.10003700000004</v>
      </c>
      <c r="H11">
        <v>0</v>
      </c>
      <c r="I11">
        <v>0</v>
      </c>
      <c r="J11" s="7">
        <v>513.63300000000004</v>
      </c>
      <c r="K11" s="7">
        <v>516.42700000000002</v>
      </c>
      <c r="L11">
        <v>0.86467700000000003</v>
      </c>
      <c r="M11">
        <v>15</v>
      </c>
      <c r="N11" s="8">
        <v>335.27600000000001</v>
      </c>
      <c r="O11" s="8">
        <v>301.54399999999998</v>
      </c>
      <c r="P11">
        <v>180.864677</v>
      </c>
      <c r="Q11">
        <v>45</v>
      </c>
      <c r="R11" s="8">
        <v>833.24199999999996</v>
      </c>
      <c r="S11" s="8">
        <v>904.197</v>
      </c>
      <c r="T11">
        <v>90.864677</v>
      </c>
      <c r="U11">
        <v>90</v>
      </c>
      <c r="V11" s="8">
        <v>79.233999999999995</v>
      </c>
      <c r="W11" s="8">
        <v>109.148</v>
      </c>
      <c r="X11">
        <v>270.86467699999997</v>
      </c>
      <c r="Y11">
        <v>90</v>
      </c>
      <c r="Z11" s="9">
        <v>554.50699999999995</v>
      </c>
      <c r="AA11" s="9">
        <v>712.63400000000001</v>
      </c>
      <c r="AC11">
        <f t="shared" si="0"/>
        <v>2.7939999999999827</v>
      </c>
      <c r="AD11">
        <f t="shared" si="1"/>
        <v>33.732000000000028</v>
      </c>
      <c r="AE11">
        <f t="shared" si="2"/>
        <v>70.955000000000041</v>
      </c>
      <c r="AF11">
        <f t="shared" si="3"/>
        <v>29.914000000000001</v>
      </c>
      <c r="AG11">
        <f t="shared" si="4"/>
        <v>158.12700000000007</v>
      </c>
    </row>
    <row r="12" spans="1:33" x14ac:dyDescent="0.35">
      <c r="A12" s="1">
        <v>10</v>
      </c>
      <c r="B12" t="s">
        <v>56</v>
      </c>
      <c r="C12" t="s">
        <v>57</v>
      </c>
      <c r="D12" t="s">
        <v>58</v>
      </c>
      <c r="E12">
        <v>40.453270000000003</v>
      </c>
      <c r="F12">
        <v>-3.7270189999999999</v>
      </c>
      <c r="G12">
        <v>682.10003700000004</v>
      </c>
      <c r="H12">
        <v>0</v>
      </c>
      <c r="I12">
        <v>0</v>
      </c>
      <c r="J12" s="7">
        <v>511.50200000000001</v>
      </c>
      <c r="K12" s="7">
        <v>514.53499999999997</v>
      </c>
      <c r="L12">
        <v>0.90720400000000001</v>
      </c>
      <c r="M12">
        <v>15</v>
      </c>
      <c r="N12" s="8">
        <v>333.62900000000002</v>
      </c>
      <c r="O12" s="8">
        <v>300.08</v>
      </c>
      <c r="P12">
        <v>180.90720400000001</v>
      </c>
      <c r="Q12">
        <v>45</v>
      </c>
      <c r="R12" s="8">
        <v>830.505</v>
      </c>
      <c r="S12" s="8">
        <v>901.63099999999997</v>
      </c>
      <c r="T12">
        <v>90.907203999999993</v>
      </c>
      <c r="U12">
        <v>90</v>
      </c>
      <c r="V12" s="8">
        <v>78.956000000000003</v>
      </c>
      <c r="W12" s="8">
        <v>108.303</v>
      </c>
      <c r="X12">
        <v>270.90720399999998</v>
      </c>
      <c r="Y12">
        <v>90</v>
      </c>
      <c r="Z12" s="9">
        <v>556.65700000000004</v>
      </c>
      <c r="AA12" s="9">
        <v>716.63300000000004</v>
      </c>
      <c r="AC12">
        <f t="shared" si="0"/>
        <v>3.0329999999999586</v>
      </c>
      <c r="AD12">
        <f t="shared" si="1"/>
        <v>33.549000000000035</v>
      </c>
      <c r="AE12">
        <f t="shared" si="2"/>
        <v>71.125999999999976</v>
      </c>
      <c r="AF12">
        <f t="shared" si="3"/>
        <v>29.346999999999994</v>
      </c>
      <c r="AG12">
        <f t="shared" si="4"/>
        <v>159.976</v>
      </c>
    </row>
    <row r="13" spans="1:33" x14ac:dyDescent="0.35">
      <c r="A13" s="1">
        <v>11</v>
      </c>
      <c r="B13" t="s">
        <v>59</v>
      </c>
      <c r="C13" t="s">
        <v>60</v>
      </c>
      <c r="D13" t="s">
        <v>61</v>
      </c>
      <c r="E13">
        <v>40.453270000000003</v>
      </c>
      <c r="F13">
        <v>-3.7270189999999999</v>
      </c>
      <c r="G13">
        <v>682.10003700000004</v>
      </c>
      <c r="H13">
        <v>0</v>
      </c>
      <c r="I13">
        <v>0</v>
      </c>
      <c r="J13" s="7">
        <v>509.35700000000003</v>
      </c>
      <c r="K13" s="7">
        <v>511.84300000000002</v>
      </c>
      <c r="L13">
        <v>0.91204799999999997</v>
      </c>
      <c r="M13">
        <v>15</v>
      </c>
      <c r="N13" s="8">
        <v>332.05200000000002</v>
      </c>
      <c r="O13" s="8">
        <v>297.834</v>
      </c>
      <c r="P13">
        <v>180.912048</v>
      </c>
      <c r="Q13">
        <v>45</v>
      </c>
      <c r="R13" s="8">
        <v>827.52599999999995</v>
      </c>
      <c r="S13" s="8">
        <v>898.24199999999996</v>
      </c>
      <c r="T13">
        <v>90.912047999999999</v>
      </c>
      <c r="U13">
        <v>90</v>
      </c>
      <c r="V13" s="8">
        <v>78.676000000000002</v>
      </c>
      <c r="W13" s="8">
        <v>108.092</v>
      </c>
      <c r="X13">
        <v>270.91204800000003</v>
      </c>
      <c r="Y13">
        <v>90</v>
      </c>
      <c r="Z13" s="9">
        <v>559.19799999999998</v>
      </c>
      <c r="AA13" s="9">
        <v>719.69100000000003</v>
      </c>
      <c r="AC13">
        <f t="shared" si="0"/>
        <v>2.48599999999999</v>
      </c>
      <c r="AD13">
        <f t="shared" si="1"/>
        <v>34.218000000000018</v>
      </c>
      <c r="AE13">
        <f t="shared" si="2"/>
        <v>70.716000000000008</v>
      </c>
      <c r="AF13">
        <f t="shared" si="3"/>
        <v>29.415999999999997</v>
      </c>
      <c r="AG13">
        <f t="shared" si="4"/>
        <v>160.49300000000005</v>
      </c>
    </row>
    <row r="14" spans="1:33" x14ac:dyDescent="0.35">
      <c r="A14" s="1">
        <v>12</v>
      </c>
      <c r="B14" t="s">
        <v>62</v>
      </c>
      <c r="C14" t="s">
        <v>63</v>
      </c>
      <c r="D14" t="s">
        <v>64</v>
      </c>
      <c r="E14">
        <v>40.453270000000003</v>
      </c>
      <c r="F14">
        <v>-3.7270189999999999</v>
      </c>
      <c r="G14">
        <v>682.10003700000004</v>
      </c>
      <c r="H14">
        <v>0</v>
      </c>
      <c r="I14">
        <v>0</v>
      </c>
      <c r="J14" s="7">
        <v>507.197</v>
      </c>
      <c r="K14" s="7">
        <v>510.17899999999997</v>
      </c>
      <c r="L14">
        <v>0.98847499999999999</v>
      </c>
      <c r="M14">
        <v>15</v>
      </c>
      <c r="N14" s="8">
        <v>330.31</v>
      </c>
      <c r="O14" s="8">
        <v>297.76900000000001</v>
      </c>
      <c r="P14">
        <v>180.98847499999999</v>
      </c>
      <c r="Q14">
        <v>45</v>
      </c>
      <c r="R14" s="8">
        <v>824.952</v>
      </c>
      <c r="S14" s="8">
        <v>894.17200000000003</v>
      </c>
      <c r="T14">
        <v>90.988474999999994</v>
      </c>
      <c r="U14">
        <v>90</v>
      </c>
      <c r="V14" s="8">
        <v>78.394000000000005</v>
      </c>
      <c r="W14" s="8">
        <v>115.352</v>
      </c>
      <c r="X14">
        <v>270.98847499999999</v>
      </c>
      <c r="Y14">
        <v>90</v>
      </c>
      <c r="Z14" s="9">
        <v>560.93200000000002</v>
      </c>
      <c r="AA14" s="9">
        <v>722.34199999999998</v>
      </c>
      <c r="AC14">
        <f t="shared" si="0"/>
        <v>2.9819999999999709</v>
      </c>
      <c r="AD14">
        <f t="shared" si="1"/>
        <v>32.540999999999997</v>
      </c>
      <c r="AE14">
        <f t="shared" si="2"/>
        <v>69.220000000000027</v>
      </c>
      <c r="AF14">
        <f t="shared" si="3"/>
        <v>36.957999999999998</v>
      </c>
      <c r="AG14">
        <f t="shared" si="4"/>
        <v>161.40999999999997</v>
      </c>
    </row>
    <row r="15" spans="1:33" x14ac:dyDescent="0.35">
      <c r="A15" s="1">
        <v>13</v>
      </c>
      <c r="B15" t="s">
        <v>65</v>
      </c>
      <c r="C15" t="s">
        <v>66</v>
      </c>
      <c r="D15" t="s">
        <v>67</v>
      </c>
      <c r="E15">
        <v>40.453270000000003</v>
      </c>
      <c r="F15">
        <v>-3.7270189999999999</v>
      </c>
      <c r="G15">
        <v>682.10003700000004</v>
      </c>
      <c r="H15">
        <v>0</v>
      </c>
      <c r="I15">
        <v>0</v>
      </c>
      <c r="J15" s="7">
        <v>505.06</v>
      </c>
      <c r="K15" s="7">
        <v>506.541</v>
      </c>
      <c r="L15">
        <v>0.983572</v>
      </c>
      <c r="M15">
        <v>15</v>
      </c>
      <c r="N15" s="8">
        <v>328.76</v>
      </c>
      <c r="O15" s="8">
        <v>293.815</v>
      </c>
      <c r="P15">
        <v>180.98357200000001</v>
      </c>
      <c r="Q15">
        <v>45</v>
      </c>
      <c r="R15" s="8">
        <v>821.92499999999995</v>
      </c>
      <c r="S15" s="8">
        <v>890.97299999999996</v>
      </c>
      <c r="T15">
        <v>90.983571999999995</v>
      </c>
      <c r="U15">
        <v>90</v>
      </c>
      <c r="V15" s="8">
        <v>78.114999999999995</v>
      </c>
      <c r="W15" s="8">
        <v>106.72799999999999</v>
      </c>
      <c r="X15">
        <v>270.98357199999998</v>
      </c>
      <c r="Y15">
        <v>90</v>
      </c>
      <c r="Z15" s="9">
        <v>563.49</v>
      </c>
      <c r="AA15" s="9">
        <v>725.25900000000001</v>
      </c>
      <c r="AC15">
        <f t="shared" si="0"/>
        <v>1.4809999999999945</v>
      </c>
      <c r="AD15">
        <f t="shared" si="1"/>
        <v>34.944999999999993</v>
      </c>
      <c r="AE15">
        <f t="shared" si="2"/>
        <v>69.048000000000002</v>
      </c>
      <c r="AF15">
        <f t="shared" si="3"/>
        <v>28.613</v>
      </c>
      <c r="AG15">
        <f t="shared" si="4"/>
        <v>161.76900000000001</v>
      </c>
    </row>
    <row r="16" spans="1:33" x14ac:dyDescent="0.35">
      <c r="A16" s="1">
        <v>14</v>
      </c>
      <c r="B16" t="s">
        <v>68</v>
      </c>
      <c r="C16" t="s">
        <v>69</v>
      </c>
      <c r="D16" t="s">
        <v>70</v>
      </c>
      <c r="E16">
        <v>40.453270000000003</v>
      </c>
      <c r="F16">
        <v>-3.7270189999999999</v>
      </c>
      <c r="G16">
        <v>682.10003700000004</v>
      </c>
      <c r="H16">
        <v>0</v>
      </c>
      <c r="I16">
        <v>0</v>
      </c>
      <c r="J16" s="7">
        <v>502.87200000000001</v>
      </c>
      <c r="K16" s="7">
        <v>503.98</v>
      </c>
      <c r="L16">
        <v>0.982742</v>
      </c>
      <c r="M16">
        <v>15</v>
      </c>
      <c r="N16" s="8">
        <v>327.16500000000002</v>
      </c>
      <c r="O16" s="8">
        <v>292.23700000000002</v>
      </c>
      <c r="P16">
        <v>180.982742</v>
      </c>
      <c r="Q16">
        <v>45</v>
      </c>
      <c r="R16" s="8">
        <v>818.851</v>
      </c>
      <c r="S16" s="8">
        <v>887.80600000000004</v>
      </c>
      <c r="T16">
        <v>90.982742000000002</v>
      </c>
      <c r="U16">
        <v>90</v>
      </c>
      <c r="V16" s="8">
        <v>77.83</v>
      </c>
      <c r="W16" s="8">
        <v>106.273</v>
      </c>
      <c r="X16">
        <v>270.98274199999997</v>
      </c>
      <c r="Y16">
        <v>90</v>
      </c>
      <c r="Z16" s="9">
        <v>566.02200000000005</v>
      </c>
      <c r="AA16" s="9">
        <v>728.59900000000005</v>
      </c>
      <c r="AC16">
        <f t="shared" si="0"/>
        <v>1.1080000000000041</v>
      </c>
      <c r="AD16">
        <f t="shared" si="1"/>
        <v>34.927999999999997</v>
      </c>
      <c r="AE16">
        <f t="shared" si="2"/>
        <v>68.955000000000041</v>
      </c>
      <c r="AF16">
        <f t="shared" si="3"/>
        <v>28.442999999999998</v>
      </c>
      <c r="AG16">
        <f t="shared" si="4"/>
        <v>162.577</v>
      </c>
    </row>
    <row r="17" spans="1:33" x14ac:dyDescent="0.35">
      <c r="A17" s="1">
        <v>15</v>
      </c>
      <c r="B17" t="s">
        <v>71</v>
      </c>
      <c r="C17" t="s">
        <v>72</v>
      </c>
      <c r="D17" t="s">
        <v>73</v>
      </c>
      <c r="E17">
        <v>40.453270000000003</v>
      </c>
      <c r="F17">
        <v>-3.7270189999999999</v>
      </c>
      <c r="G17">
        <v>682.10003700000004</v>
      </c>
      <c r="H17">
        <v>0</v>
      </c>
      <c r="I17">
        <v>0</v>
      </c>
      <c r="J17" s="7">
        <v>500.67</v>
      </c>
      <c r="K17" s="7">
        <v>501.38600000000002</v>
      </c>
      <c r="L17">
        <v>0.96311599999999997</v>
      </c>
      <c r="M17">
        <v>15</v>
      </c>
      <c r="N17" s="8">
        <v>325.60300000000001</v>
      </c>
      <c r="O17" s="8">
        <v>289.959</v>
      </c>
      <c r="P17">
        <v>180.96311600000001</v>
      </c>
      <c r="Q17">
        <v>45</v>
      </c>
      <c r="R17" s="8">
        <v>815.64200000000005</v>
      </c>
      <c r="S17" s="8">
        <v>884.46500000000003</v>
      </c>
      <c r="T17">
        <v>90.963115999999999</v>
      </c>
      <c r="U17">
        <v>90</v>
      </c>
      <c r="V17" s="8">
        <v>77.543000000000006</v>
      </c>
      <c r="W17" s="8">
        <v>106.09399999999999</v>
      </c>
      <c r="X17">
        <v>270.96311600000001</v>
      </c>
      <c r="Y17">
        <v>90</v>
      </c>
      <c r="Z17" s="9">
        <v>568.73199999999997</v>
      </c>
      <c r="AA17" s="9">
        <v>731.79899999999998</v>
      </c>
      <c r="AC17">
        <f t="shared" si="0"/>
        <v>0.71600000000000819</v>
      </c>
      <c r="AD17">
        <f t="shared" si="1"/>
        <v>35.644000000000005</v>
      </c>
      <c r="AE17">
        <f t="shared" si="2"/>
        <v>68.822999999999979</v>
      </c>
      <c r="AF17">
        <f t="shared" si="3"/>
        <v>28.550999999999988</v>
      </c>
      <c r="AG17">
        <f t="shared" si="4"/>
        <v>163.06700000000001</v>
      </c>
    </row>
    <row r="18" spans="1:33" x14ac:dyDescent="0.35">
      <c r="A18" s="1">
        <v>16</v>
      </c>
      <c r="B18" t="s">
        <v>74</v>
      </c>
      <c r="C18" t="s">
        <v>75</v>
      </c>
      <c r="D18" t="s">
        <v>76</v>
      </c>
      <c r="E18">
        <v>40.453270000000003</v>
      </c>
      <c r="F18">
        <v>-3.7270189999999999</v>
      </c>
      <c r="G18">
        <v>682.10003700000004</v>
      </c>
      <c r="H18">
        <v>0</v>
      </c>
      <c r="I18">
        <v>0</v>
      </c>
      <c r="J18" s="7">
        <v>498.45400000000001</v>
      </c>
      <c r="K18" s="7">
        <v>498.64600000000002</v>
      </c>
      <c r="L18">
        <v>1.051909</v>
      </c>
      <c r="M18">
        <v>15</v>
      </c>
      <c r="N18" s="8">
        <v>323.78899999999999</v>
      </c>
      <c r="O18" s="8">
        <v>288.12099999999998</v>
      </c>
      <c r="P18">
        <v>181.05190899999999</v>
      </c>
      <c r="Q18">
        <v>45</v>
      </c>
      <c r="R18" s="8">
        <v>813.07</v>
      </c>
      <c r="S18" s="8">
        <v>881.202</v>
      </c>
      <c r="T18">
        <v>91.051908999999995</v>
      </c>
      <c r="U18">
        <v>90</v>
      </c>
      <c r="V18" s="8">
        <v>77.253</v>
      </c>
      <c r="W18" s="8">
        <v>105.785</v>
      </c>
      <c r="X18">
        <v>271.05190900000002</v>
      </c>
      <c r="Y18">
        <v>90</v>
      </c>
      <c r="Z18" s="9">
        <v>570.24400000000003</v>
      </c>
      <c r="AA18" s="9">
        <v>734.93499999999995</v>
      </c>
      <c r="AC18">
        <f t="shared" si="0"/>
        <v>0.19200000000000728</v>
      </c>
      <c r="AD18">
        <f t="shared" si="1"/>
        <v>35.668000000000006</v>
      </c>
      <c r="AE18">
        <f t="shared" si="2"/>
        <v>68.131999999999948</v>
      </c>
      <c r="AF18">
        <f t="shared" si="3"/>
        <v>28.531999999999996</v>
      </c>
      <c r="AG18">
        <f t="shared" si="4"/>
        <v>164.69099999999992</v>
      </c>
    </row>
    <row r="19" spans="1:33" x14ac:dyDescent="0.35">
      <c r="A19" s="1">
        <v>17</v>
      </c>
      <c r="B19" t="s">
        <v>77</v>
      </c>
      <c r="C19" t="s">
        <v>78</v>
      </c>
      <c r="D19" t="s">
        <v>79</v>
      </c>
      <c r="E19">
        <v>40.453270000000003</v>
      </c>
      <c r="F19">
        <v>-3.7270189999999999</v>
      </c>
      <c r="G19">
        <v>682.10003700000004</v>
      </c>
      <c r="H19">
        <v>0</v>
      </c>
      <c r="I19">
        <v>0</v>
      </c>
      <c r="J19" s="7">
        <v>496.22399999999999</v>
      </c>
      <c r="K19" s="7">
        <v>496.05200000000002</v>
      </c>
      <c r="L19">
        <v>1.060961</v>
      </c>
      <c r="M19">
        <v>15</v>
      </c>
      <c r="N19" s="8">
        <v>322.142</v>
      </c>
      <c r="O19" s="8">
        <v>286.11900000000003</v>
      </c>
      <c r="P19">
        <v>181.06096099999999</v>
      </c>
      <c r="Q19">
        <v>45</v>
      </c>
      <c r="R19" s="8">
        <v>809.99400000000003</v>
      </c>
      <c r="S19" s="8">
        <v>878.01900000000001</v>
      </c>
      <c r="T19">
        <v>91.060961000000006</v>
      </c>
      <c r="U19">
        <v>90</v>
      </c>
      <c r="V19" s="8">
        <v>76.962000000000003</v>
      </c>
      <c r="W19" s="8">
        <v>105.31399999999999</v>
      </c>
      <c r="X19">
        <v>271.06096100000002</v>
      </c>
      <c r="Y19">
        <v>90</v>
      </c>
      <c r="Z19" s="9">
        <v>572.59500000000003</v>
      </c>
      <c r="AA19" s="9">
        <v>737.36699999999996</v>
      </c>
      <c r="AC19">
        <f t="shared" si="0"/>
        <v>0.17199999999996862</v>
      </c>
      <c r="AD19">
        <f t="shared" si="1"/>
        <v>36.022999999999968</v>
      </c>
      <c r="AE19">
        <f t="shared" si="2"/>
        <v>68.024999999999977</v>
      </c>
      <c r="AF19">
        <f t="shared" si="3"/>
        <v>28.35199999999999</v>
      </c>
      <c r="AG19">
        <f t="shared" si="4"/>
        <v>164.77199999999993</v>
      </c>
    </row>
    <row r="20" spans="1:33" x14ac:dyDescent="0.35">
      <c r="A20" s="1">
        <v>18</v>
      </c>
      <c r="B20" s="3" t="s">
        <v>80</v>
      </c>
      <c r="C20" s="3" t="s">
        <v>81</v>
      </c>
      <c r="D20" s="3" t="s">
        <v>82</v>
      </c>
      <c r="E20" s="3">
        <v>40.453270000000003</v>
      </c>
      <c r="F20" s="3">
        <v>-3.7270189999999999</v>
      </c>
      <c r="G20" s="3">
        <v>682.10003700000004</v>
      </c>
      <c r="H20" s="3">
        <v>0</v>
      </c>
      <c r="I20" s="3">
        <v>0</v>
      </c>
      <c r="J20" s="7">
        <v>494.017</v>
      </c>
      <c r="K20" s="7">
        <v>492.41399999999999</v>
      </c>
      <c r="L20" s="3">
        <v>1.0272110000000001</v>
      </c>
      <c r="M20" s="3">
        <v>15</v>
      </c>
      <c r="N20" s="8">
        <v>320.60899999999998</v>
      </c>
      <c r="O20" s="8">
        <v>283.58100000000002</v>
      </c>
      <c r="P20" s="3">
        <v>181.02721099999999</v>
      </c>
      <c r="Q20" s="3">
        <v>45</v>
      </c>
      <c r="R20" s="8">
        <v>806.68799999999999</v>
      </c>
      <c r="S20" s="8">
        <v>873.49</v>
      </c>
      <c r="T20" s="3">
        <v>91.027210999999994</v>
      </c>
      <c r="U20" s="3">
        <v>90</v>
      </c>
      <c r="V20" s="8">
        <v>76.674000000000007</v>
      </c>
      <c r="W20" s="8">
        <v>104.56699999999999</v>
      </c>
      <c r="X20" s="3">
        <v>271.02721100000002</v>
      </c>
      <c r="Y20" s="3">
        <v>90</v>
      </c>
      <c r="Z20" s="9">
        <v>575.34</v>
      </c>
      <c r="AA20" s="9">
        <v>739.21699999999998</v>
      </c>
      <c r="AC20">
        <f t="shared" si="0"/>
        <v>1.6030000000000086</v>
      </c>
      <c r="AD20">
        <f t="shared" si="1"/>
        <v>37.027999999999963</v>
      </c>
      <c r="AE20">
        <f t="shared" si="2"/>
        <v>66.802000000000021</v>
      </c>
      <c r="AF20">
        <f t="shared" si="3"/>
        <v>27.892999999999986</v>
      </c>
      <c r="AG20">
        <f t="shared" si="4"/>
        <v>163.87699999999995</v>
      </c>
    </row>
    <row r="21" spans="1:33" x14ac:dyDescent="0.35">
      <c r="A21" s="2">
        <v>19</v>
      </c>
      <c r="B21" t="s">
        <v>83</v>
      </c>
      <c r="C21" t="s">
        <v>84</v>
      </c>
      <c r="D21" t="s">
        <v>85</v>
      </c>
      <c r="E21">
        <v>40.453259000000003</v>
      </c>
      <c r="F21">
        <v>-3.7270349999999999</v>
      </c>
      <c r="G21">
        <v>690.19964600000003</v>
      </c>
      <c r="H21">
        <v>0</v>
      </c>
      <c r="I21">
        <v>0</v>
      </c>
      <c r="J21" s="8">
        <v>332.85599999999999</v>
      </c>
      <c r="K21" s="8">
        <v>300.29300000000001</v>
      </c>
      <c r="L21">
        <v>276.78350799999998</v>
      </c>
      <c r="M21">
        <v>15</v>
      </c>
      <c r="N21" s="7">
        <v>467.58199999999999</v>
      </c>
      <c r="O21" s="7">
        <v>487.03</v>
      </c>
      <c r="P21">
        <v>96.783507999999983</v>
      </c>
      <c r="Q21">
        <v>45</v>
      </c>
      <c r="R21" s="9">
        <v>35.853000000000002</v>
      </c>
      <c r="S21" s="9">
        <v>66.766000000000005</v>
      </c>
      <c r="T21">
        <v>6.7835079999999834</v>
      </c>
      <c r="U21">
        <v>90</v>
      </c>
      <c r="V21" s="7">
        <v>55.470999999999997</v>
      </c>
      <c r="W21" s="7">
        <v>69.89</v>
      </c>
      <c r="X21">
        <v>186.78350800000001</v>
      </c>
      <c r="Y21">
        <v>90</v>
      </c>
      <c r="Z21" s="8">
        <v>572.17200000000003</v>
      </c>
      <c r="AA21" s="8">
        <v>645.55600000000004</v>
      </c>
      <c r="AC21">
        <f t="shared" si="0"/>
        <v>32.562999999999988</v>
      </c>
      <c r="AD21">
        <f t="shared" si="1"/>
        <v>19.447999999999979</v>
      </c>
      <c r="AE21">
        <f t="shared" si="2"/>
        <v>30.913000000000004</v>
      </c>
      <c r="AF21">
        <f t="shared" si="3"/>
        <v>14.419000000000004</v>
      </c>
      <c r="AG21">
        <f t="shared" si="4"/>
        <v>73.384000000000015</v>
      </c>
    </row>
    <row r="22" spans="1:33" x14ac:dyDescent="0.35">
      <c r="A22" s="1">
        <v>20</v>
      </c>
      <c r="B22" t="s">
        <v>86</v>
      </c>
      <c r="C22" t="s">
        <v>87</v>
      </c>
      <c r="D22" t="s">
        <v>88</v>
      </c>
      <c r="E22">
        <v>40.453251000000002</v>
      </c>
      <c r="F22">
        <v>-3.7270349999999999</v>
      </c>
      <c r="G22">
        <v>690.19970699999999</v>
      </c>
      <c r="H22">
        <v>0</v>
      </c>
      <c r="I22">
        <v>0</v>
      </c>
      <c r="J22" s="8">
        <v>329.87900000000002</v>
      </c>
      <c r="K22" s="8">
        <v>297.22699999999998</v>
      </c>
      <c r="L22">
        <v>276.784424</v>
      </c>
      <c r="M22">
        <v>15</v>
      </c>
      <c r="N22" s="7">
        <v>464.90199999999999</v>
      </c>
      <c r="O22" s="7">
        <v>484.89800000000002</v>
      </c>
      <c r="P22">
        <v>96.784424000000001</v>
      </c>
      <c r="Q22">
        <v>45</v>
      </c>
      <c r="R22" s="9">
        <v>35.703000000000003</v>
      </c>
      <c r="S22" s="9">
        <v>66.212000000000003</v>
      </c>
      <c r="T22">
        <v>6.7844240000000013</v>
      </c>
      <c r="U22">
        <v>90</v>
      </c>
      <c r="V22" s="7">
        <v>55.075000000000003</v>
      </c>
      <c r="W22" s="7">
        <v>69.727999999999994</v>
      </c>
      <c r="X22">
        <v>186.784424</v>
      </c>
      <c r="Y22">
        <v>90</v>
      </c>
      <c r="Z22" s="8">
        <v>568.803</v>
      </c>
      <c r="AA22" s="8">
        <v>642.45100000000002</v>
      </c>
      <c r="AC22">
        <f t="shared" si="0"/>
        <v>32.652000000000044</v>
      </c>
      <c r="AD22">
        <f t="shared" si="1"/>
        <v>19.996000000000038</v>
      </c>
      <c r="AE22">
        <f t="shared" si="2"/>
        <v>30.509</v>
      </c>
      <c r="AF22">
        <f t="shared" si="3"/>
        <v>14.652999999999992</v>
      </c>
      <c r="AG22">
        <f t="shared" si="4"/>
        <v>73.648000000000025</v>
      </c>
    </row>
    <row r="23" spans="1:33" x14ac:dyDescent="0.35">
      <c r="A23" s="1">
        <v>21</v>
      </c>
      <c r="B23" t="s">
        <v>89</v>
      </c>
      <c r="C23" t="s">
        <v>90</v>
      </c>
      <c r="D23" t="s">
        <v>91</v>
      </c>
      <c r="E23">
        <v>40.453251000000002</v>
      </c>
      <c r="F23">
        <v>-3.7270349999999999</v>
      </c>
      <c r="G23">
        <v>690.19970699999999</v>
      </c>
      <c r="H23">
        <v>0</v>
      </c>
      <c r="I23">
        <v>0</v>
      </c>
      <c r="J23" s="8">
        <v>326.84300000000002</v>
      </c>
      <c r="K23" s="8">
        <v>294.12700000000001</v>
      </c>
      <c r="L23">
        <v>276.77816799999999</v>
      </c>
      <c r="M23">
        <v>15</v>
      </c>
      <c r="N23" s="7">
        <v>462.17099999999999</v>
      </c>
      <c r="O23" s="7">
        <v>482.47399999999999</v>
      </c>
      <c r="P23">
        <v>96.778167999999994</v>
      </c>
      <c r="Q23">
        <v>45</v>
      </c>
      <c r="R23" s="9">
        <v>35.549999999999997</v>
      </c>
      <c r="S23" s="9">
        <v>65.911000000000001</v>
      </c>
      <c r="T23">
        <v>6.7781679999999938</v>
      </c>
      <c r="U23">
        <v>90</v>
      </c>
      <c r="V23" s="7">
        <v>54.670999999999999</v>
      </c>
      <c r="W23" s="7">
        <v>69.272999999999996</v>
      </c>
      <c r="X23">
        <v>186.77816799999999</v>
      </c>
      <c r="Y23">
        <v>90</v>
      </c>
      <c r="Z23" s="8">
        <v>565.28499999999997</v>
      </c>
      <c r="AA23" s="8">
        <v>639.31500000000005</v>
      </c>
      <c r="AC23">
        <f t="shared" si="0"/>
        <v>32.716000000000008</v>
      </c>
      <c r="AD23">
        <f t="shared" si="1"/>
        <v>20.302999999999997</v>
      </c>
      <c r="AE23">
        <f t="shared" si="2"/>
        <v>30.361000000000004</v>
      </c>
      <c r="AF23">
        <f t="shared" si="3"/>
        <v>14.601999999999997</v>
      </c>
      <c r="AG23">
        <f t="shared" si="4"/>
        <v>74.030000000000086</v>
      </c>
    </row>
    <row r="24" spans="1:33" x14ac:dyDescent="0.35">
      <c r="A24" s="1">
        <v>22</v>
      </c>
      <c r="B24" t="s">
        <v>92</v>
      </c>
      <c r="C24" t="s">
        <v>93</v>
      </c>
      <c r="D24" t="s">
        <v>94</v>
      </c>
      <c r="E24">
        <v>40.453254999999999</v>
      </c>
      <c r="F24">
        <v>-3.7270349999999999</v>
      </c>
      <c r="G24">
        <v>690.19964600000003</v>
      </c>
      <c r="H24">
        <v>0</v>
      </c>
      <c r="I24">
        <v>0</v>
      </c>
      <c r="J24" s="8">
        <v>323.899</v>
      </c>
      <c r="K24" s="8">
        <v>291.02800000000002</v>
      </c>
      <c r="L24">
        <v>276.77301</v>
      </c>
      <c r="M24">
        <v>15</v>
      </c>
      <c r="N24" s="7">
        <v>459.50700000000001</v>
      </c>
      <c r="O24" s="7">
        <v>480.017</v>
      </c>
      <c r="P24">
        <v>96.773009999999999</v>
      </c>
      <c r="Q24">
        <v>45</v>
      </c>
      <c r="R24" s="9">
        <v>35.401000000000003</v>
      </c>
      <c r="S24" s="9">
        <v>66.100999999999999</v>
      </c>
      <c r="T24">
        <v>6.7730099999999993</v>
      </c>
      <c r="U24">
        <v>90</v>
      </c>
      <c r="V24" s="7">
        <v>54.277999999999999</v>
      </c>
      <c r="W24" s="7">
        <v>69.322000000000003</v>
      </c>
      <c r="X24">
        <v>186.77301</v>
      </c>
      <c r="Y24">
        <v>90</v>
      </c>
      <c r="Z24" s="8">
        <v>561.86900000000003</v>
      </c>
      <c r="AA24" s="8">
        <v>635.67600000000004</v>
      </c>
      <c r="AC24">
        <f t="shared" si="0"/>
        <v>32.870999999999981</v>
      </c>
      <c r="AD24">
        <f t="shared" si="1"/>
        <v>20.509999999999991</v>
      </c>
      <c r="AE24">
        <f t="shared" si="2"/>
        <v>30.699999999999996</v>
      </c>
      <c r="AF24">
        <f t="shared" si="3"/>
        <v>15.044000000000004</v>
      </c>
      <c r="AG24">
        <f t="shared" si="4"/>
        <v>73.807000000000016</v>
      </c>
    </row>
    <row r="25" spans="1:33" x14ac:dyDescent="0.35">
      <c r="A25" s="1">
        <v>23</v>
      </c>
      <c r="B25" t="s">
        <v>95</v>
      </c>
      <c r="C25" t="s">
        <v>96</v>
      </c>
      <c r="D25" t="s">
        <v>97</v>
      </c>
      <c r="E25">
        <v>40.453254999999999</v>
      </c>
      <c r="F25">
        <v>-3.7270349999999999</v>
      </c>
      <c r="G25">
        <v>690.19964600000003</v>
      </c>
      <c r="H25">
        <v>0</v>
      </c>
      <c r="I25">
        <v>0</v>
      </c>
      <c r="J25" s="8">
        <v>320.89499999999998</v>
      </c>
      <c r="K25" s="8">
        <v>287.32400000000001</v>
      </c>
      <c r="L25">
        <v>276.76531999999997</v>
      </c>
      <c r="M25">
        <v>15</v>
      </c>
      <c r="N25" s="7">
        <v>456.78199999999998</v>
      </c>
      <c r="O25" s="7">
        <v>476.48599999999999</v>
      </c>
      <c r="P25">
        <v>96.765319999999974</v>
      </c>
      <c r="Q25">
        <v>45</v>
      </c>
      <c r="R25" s="9">
        <v>35.249000000000002</v>
      </c>
      <c r="S25" s="9">
        <v>65.483999999999995</v>
      </c>
      <c r="T25">
        <v>6.7653199999999742</v>
      </c>
      <c r="U25">
        <v>90</v>
      </c>
      <c r="V25" s="7">
        <v>53.878</v>
      </c>
      <c r="W25" s="7">
        <v>68.671999999999997</v>
      </c>
      <c r="X25">
        <v>186.76532</v>
      </c>
      <c r="Y25">
        <v>90</v>
      </c>
      <c r="Z25" s="8">
        <v>558.34799999999996</v>
      </c>
      <c r="AA25" s="8">
        <v>630.72</v>
      </c>
      <c r="AC25">
        <f t="shared" si="0"/>
        <v>33.57099999999997</v>
      </c>
      <c r="AD25">
        <f t="shared" si="1"/>
        <v>19.704000000000008</v>
      </c>
      <c r="AE25">
        <f t="shared" si="2"/>
        <v>30.234999999999992</v>
      </c>
      <c r="AF25">
        <f t="shared" si="3"/>
        <v>14.793999999999997</v>
      </c>
      <c r="AG25">
        <f t="shared" si="4"/>
        <v>72.372000000000071</v>
      </c>
    </row>
    <row r="26" spans="1:33" x14ac:dyDescent="0.35">
      <c r="A26" s="1">
        <v>24</v>
      </c>
      <c r="B26" t="s">
        <v>98</v>
      </c>
      <c r="C26" t="s">
        <v>99</v>
      </c>
      <c r="D26" t="s">
        <v>100</v>
      </c>
      <c r="E26">
        <v>40.453265999999999</v>
      </c>
      <c r="F26">
        <v>-3.7270349999999999</v>
      </c>
      <c r="G26">
        <v>690.19964600000003</v>
      </c>
      <c r="H26">
        <v>0</v>
      </c>
      <c r="I26">
        <v>0</v>
      </c>
      <c r="J26" s="8">
        <v>317.93299999999999</v>
      </c>
      <c r="K26" s="8">
        <v>283.86599999999999</v>
      </c>
      <c r="L26">
        <v>276.71185300000002</v>
      </c>
      <c r="M26">
        <v>15</v>
      </c>
      <c r="N26" s="7">
        <v>454.18400000000003</v>
      </c>
      <c r="O26" s="7">
        <v>473.59</v>
      </c>
      <c r="P26">
        <v>96.711853000000019</v>
      </c>
      <c r="Q26">
        <v>45</v>
      </c>
      <c r="R26" s="9">
        <v>35.097999999999999</v>
      </c>
      <c r="S26" s="9">
        <v>67.478999999999999</v>
      </c>
      <c r="T26">
        <v>6.7118530000000192</v>
      </c>
      <c r="U26">
        <v>90</v>
      </c>
      <c r="V26" s="7">
        <v>53.482999999999997</v>
      </c>
      <c r="W26" s="7">
        <v>69.126999999999995</v>
      </c>
      <c r="X26">
        <v>186.71185299999999</v>
      </c>
      <c r="Y26">
        <v>90</v>
      </c>
      <c r="Z26" s="8">
        <v>554.41399999999999</v>
      </c>
      <c r="AA26" s="8">
        <v>627.00300000000004</v>
      </c>
      <c r="AC26">
        <f t="shared" si="0"/>
        <v>34.067000000000007</v>
      </c>
      <c r="AD26">
        <f t="shared" si="1"/>
        <v>19.405999999999949</v>
      </c>
      <c r="AE26">
        <f t="shared" si="2"/>
        <v>32.381</v>
      </c>
      <c r="AF26">
        <f t="shared" si="3"/>
        <v>15.643999999999998</v>
      </c>
      <c r="AG26">
        <f t="shared" si="4"/>
        <v>72.589000000000055</v>
      </c>
    </row>
    <row r="27" spans="1:33" x14ac:dyDescent="0.35">
      <c r="A27" s="1">
        <v>25</v>
      </c>
      <c r="B27" t="s">
        <v>101</v>
      </c>
      <c r="C27" t="s">
        <v>102</v>
      </c>
      <c r="D27" t="s">
        <v>103</v>
      </c>
      <c r="E27">
        <v>40.453265999999999</v>
      </c>
      <c r="F27">
        <v>-3.7270349999999999</v>
      </c>
      <c r="G27">
        <v>690.19964600000003</v>
      </c>
      <c r="H27">
        <v>0</v>
      </c>
      <c r="I27">
        <v>0</v>
      </c>
      <c r="J27" s="8">
        <v>314.863</v>
      </c>
      <c r="K27" s="8">
        <v>280.16300000000001</v>
      </c>
      <c r="L27">
        <v>276.676422</v>
      </c>
      <c r="M27">
        <v>15</v>
      </c>
      <c r="N27" s="7">
        <v>451.43099999999998</v>
      </c>
      <c r="O27" s="7">
        <v>470.31900000000002</v>
      </c>
      <c r="P27">
        <v>96.676422000000002</v>
      </c>
      <c r="Q27">
        <v>45</v>
      </c>
      <c r="R27" s="9">
        <v>34.941000000000003</v>
      </c>
      <c r="S27" s="9">
        <v>65.911000000000001</v>
      </c>
      <c r="T27">
        <v>6.6764220000000023</v>
      </c>
      <c r="U27">
        <v>90</v>
      </c>
      <c r="V27" s="7">
        <v>53.073</v>
      </c>
      <c r="W27" s="7">
        <v>68.492999999999995</v>
      </c>
      <c r="X27">
        <v>186.676422</v>
      </c>
      <c r="Y27">
        <v>90</v>
      </c>
      <c r="Z27" s="8">
        <v>550.51700000000005</v>
      </c>
      <c r="AA27" s="8">
        <v>622.87800000000004</v>
      </c>
      <c r="AC27">
        <f t="shared" si="0"/>
        <v>34.699999999999989</v>
      </c>
      <c r="AD27">
        <f t="shared" si="1"/>
        <v>18.888000000000034</v>
      </c>
      <c r="AE27">
        <f t="shared" si="2"/>
        <v>30.97</v>
      </c>
      <c r="AF27">
        <f t="shared" si="3"/>
        <v>15.419999999999995</v>
      </c>
      <c r="AG27">
        <f t="shared" si="4"/>
        <v>72.36099999999999</v>
      </c>
    </row>
    <row r="28" spans="1:33" x14ac:dyDescent="0.35">
      <c r="A28" s="1">
        <v>26</v>
      </c>
      <c r="B28" t="s">
        <v>104</v>
      </c>
      <c r="C28" t="s">
        <v>105</v>
      </c>
      <c r="D28" t="s">
        <v>106</v>
      </c>
      <c r="E28">
        <v>40.453262000000002</v>
      </c>
      <c r="F28">
        <v>-3.7270349999999999</v>
      </c>
      <c r="G28">
        <v>690.19964600000003</v>
      </c>
      <c r="H28">
        <v>0</v>
      </c>
      <c r="I28">
        <v>0</v>
      </c>
      <c r="J28" s="8">
        <v>311.834</v>
      </c>
      <c r="K28" s="8">
        <v>277.161</v>
      </c>
      <c r="L28">
        <v>276.659088</v>
      </c>
      <c r="M28">
        <v>15</v>
      </c>
      <c r="N28" s="7">
        <v>448.66</v>
      </c>
      <c r="O28" s="7">
        <v>468.25299999999999</v>
      </c>
      <c r="P28">
        <v>96.659087999999997</v>
      </c>
      <c r="Q28">
        <v>45</v>
      </c>
      <c r="R28" s="9">
        <v>34.786000000000001</v>
      </c>
      <c r="S28" s="9">
        <v>66.132999999999996</v>
      </c>
      <c r="T28">
        <v>6.659087999999997</v>
      </c>
      <c r="U28">
        <v>90</v>
      </c>
      <c r="V28" s="7">
        <v>52.667999999999999</v>
      </c>
      <c r="W28" s="7">
        <v>68.460999999999999</v>
      </c>
      <c r="X28">
        <v>186.659088</v>
      </c>
      <c r="Y28">
        <v>90</v>
      </c>
      <c r="Z28" s="8">
        <v>546.83199999999999</v>
      </c>
      <c r="AA28" s="8">
        <v>619.20799999999997</v>
      </c>
      <c r="AC28">
        <f t="shared" si="0"/>
        <v>34.673000000000002</v>
      </c>
      <c r="AD28">
        <f t="shared" si="1"/>
        <v>19.592999999999961</v>
      </c>
      <c r="AE28">
        <f t="shared" si="2"/>
        <v>31.346999999999994</v>
      </c>
      <c r="AF28">
        <f t="shared" si="3"/>
        <v>15.792999999999999</v>
      </c>
      <c r="AG28">
        <f t="shared" si="4"/>
        <v>72.375999999999976</v>
      </c>
    </row>
    <row r="29" spans="1:33" x14ac:dyDescent="0.35">
      <c r="A29" s="1">
        <v>27</v>
      </c>
      <c r="B29" t="s">
        <v>107</v>
      </c>
      <c r="C29" t="s">
        <v>108</v>
      </c>
      <c r="D29" t="s">
        <v>109</v>
      </c>
      <c r="E29">
        <v>40.453265999999999</v>
      </c>
      <c r="F29">
        <v>-3.7270349999999999</v>
      </c>
      <c r="G29">
        <v>690.19964600000003</v>
      </c>
      <c r="H29">
        <v>0</v>
      </c>
      <c r="I29">
        <v>0</v>
      </c>
      <c r="J29" s="8">
        <v>308.84800000000001</v>
      </c>
      <c r="K29" s="8">
        <v>274.584</v>
      </c>
      <c r="L29">
        <v>276.48010299999999</v>
      </c>
      <c r="M29">
        <v>15</v>
      </c>
      <c r="N29" s="7">
        <v>446.27199999999999</v>
      </c>
      <c r="O29" s="7">
        <v>465.34100000000001</v>
      </c>
      <c r="P29">
        <v>96.480102999999986</v>
      </c>
      <c r="Q29">
        <v>45</v>
      </c>
      <c r="R29" s="9">
        <v>34.631999999999998</v>
      </c>
      <c r="S29" s="9">
        <v>77.978999999999999</v>
      </c>
      <c r="T29">
        <v>6.4801029999999864</v>
      </c>
      <c r="U29">
        <v>90</v>
      </c>
      <c r="V29" s="7">
        <v>52.268999999999998</v>
      </c>
      <c r="W29" s="7">
        <v>68.396000000000001</v>
      </c>
      <c r="X29">
        <v>186.48010300000001</v>
      </c>
      <c r="Y29">
        <v>90</v>
      </c>
      <c r="Z29" s="8">
        <v>541.59100000000001</v>
      </c>
      <c r="AA29" s="8">
        <v>618.18899999999996</v>
      </c>
      <c r="AC29">
        <f t="shared" si="0"/>
        <v>34.26400000000001</v>
      </c>
      <c r="AD29">
        <f t="shared" si="1"/>
        <v>19.069000000000017</v>
      </c>
      <c r="AE29">
        <f t="shared" si="2"/>
        <v>43.347000000000001</v>
      </c>
      <c r="AF29">
        <f t="shared" si="3"/>
        <v>16.127000000000002</v>
      </c>
      <c r="AG29">
        <f t="shared" si="4"/>
        <v>76.597999999999956</v>
      </c>
    </row>
    <row r="30" spans="1:33" x14ac:dyDescent="0.35">
      <c r="A30" s="1">
        <v>28</v>
      </c>
      <c r="B30" s="3" t="s">
        <v>110</v>
      </c>
      <c r="C30" s="3" t="s">
        <v>111</v>
      </c>
      <c r="D30" s="3" t="s">
        <v>112</v>
      </c>
      <c r="E30" s="3">
        <v>40.453262000000002</v>
      </c>
      <c r="F30" s="3">
        <v>-3.7270349999999999</v>
      </c>
      <c r="G30" s="3">
        <v>690.19964600000003</v>
      </c>
      <c r="H30" s="3">
        <v>0</v>
      </c>
      <c r="I30" s="3">
        <v>0</v>
      </c>
      <c r="J30" s="8">
        <v>305.803</v>
      </c>
      <c r="K30" s="8">
        <v>272.85500000000002</v>
      </c>
      <c r="L30" s="3">
        <v>276.10412600000001</v>
      </c>
      <c r="M30" s="3">
        <v>15</v>
      </c>
      <c r="N30" s="7">
        <v>444.23899999999998</v>
      </c>
      <c r="O30" s="7">
        <v>462.786</v>
      </c>
      <c r="P30" s="3">
        <v>96.104126000000008</v>
      </c>
      <c r="Q30" s="3">
        <v>45</v>
      </c>
      <c r="R30" s="9">
        <v>34.475000000000001</v>
      </c>
      <c r="S30" s="9">
        <v>85.533000000000001</v>
      </c>
      <c r="T30" s="3">
        <v>6.1041260000000079</v>
      </c>
      <c r="U30" s="3">
        <v>90</v>
      </c>
      <c r="V30" s="7">
        <v>51.862000000000002</v>
      </c>
      <c r="W30" s="7">
        <v>69.126999999999995</v>
      </c>
      <c r="X30" s="3">
        <v>186.10412600000001</v>
      </c>
      <c r="Y30" s="3">
        <v>90</v>
      </c>
      <c r="Z30" s="8">
        <v>534.30999999999995</v>
      </c>
      <c r="AA30" s="8">
        <v>614.66</v>
      </c>
      <c r="AC30">
        <f t="shared" si="0"/>
        <v>32.947999999999979</v>
      </c>
      <c r="AD30">
        <f t="shared" si="1"/>
        <v>18.547000000000025</v>
      </c>
      <c r="AE30">
        <f t="shared" si="2"/>
        <v>51.058</v>
      </c>
      <c r="AF30">
        <f t="shared" si="3"/>
        <v>17.264999999999993</v>
      </c>
      <c r="AG30">
        <f t="shared" si="4"/>
        <v>80.350000000000023</v>
      </c>
    </row>
    <row r="31" spans="1:33" x14ac:dyDescent="0.35">
      <c r="A31" s="2">
        <v>29</v>
      </c>
      <c r="B31" t="s">
        <v>113</v>
      </c>
      <c r="C31" t="s">
        <v>114</v>
      </c>
      <c r="D31" t="s">
        <v>115</v>
      </c>
      <c r="E31">
        <v>40.453243000000001</v>
      </c>
      <c r="F31">
        <v>-3.727058</v>
      </c>
      <c r="G31">
        <v>677.79998799999998</v>
      </c>
      <c r="H31">
        <v>0</v>
      </c>
      <c r="I31">
        <v>0</v>
      </c>
      <c r="J31" s="8">
        <v>254.67599999999999</v>
      </c>
      <c r="K31" s="8">
        <v>201.26499999999999</v>
      </c>
      <c r="L31">
        <v>176.00775100000001</v>
      </c>
      <c r="M31">
        <v>15</v>
      </c>
      <c r="N31" s="7">
        <v>330.721</v>
      </c>
      <c r="O31" s="7">
        <v>341.42899999999997</v>
      </c>
      <c r="P31">
        <v>356.00775099999998</v>
      </c>
      <c r="Q31">
        <v>45</v>
      </c>
      <c r="R31" s="8">
        <v>31.771999999999998</v>
      </c>
      <c r="S31" s="8">
        <v>52.945999999999998</v>
      </c>
      <c r="T31">
        <v>266.00775099999998</v>
      </c>
      <c r="U31">
        <v>90</v>
      </c>
      <c r="V31" s="9">
        <v>676.13099999999997</v>
      </c>
      <c r="W31" s="9">
        <v>815.93100000000004</v>
      </c>
      <c r="X31">
        <v>86.007751000000013</v>
      </c>
      <c r="Y31">
        <v>90</v>
      </c>
      <c r="Z31" s="8">
        <v>44.984000000000002</v>
      </c>
      <c r="AA31" s="8">
        <v>95.102000000000004</v>
      </c>
      <c r="AC31">
        <f t="shared" si="0"/>
        <v>53.411000000000001</v>
      </c>
      <c r="AD31">
        <f t="shared" si="1"/>
        <v>10.70799999999997</v>
      </c>
      <c r="AE31">
        <f t="shared" si="2"/>
        <v>21.173999999999999</v>
      </c>
      <c r="AF31">
        <f t="shared" si="3"/>
        <v>139.80000000000007</v>
      </c>
      <c r="AG31">
        <f t="shared" si="4"/>
        <v>50.118000000000002</v>
      </c>
    </row>
    <row r="32" spans="1:33" x14ac:dyDescent="0.35">
      <c r="A32" s="1">
        <v>30</v>
      </c>
      <c r="B32" t="s">
        <v>116</v>
      </c>
      <c r="C32" t="s">
        <v>114</v>
      </c>
      <c r="D32" t="s">
        <v>115</v>
      </c>
      <c r="E32">
        <v>40.453243000000001</v>
      </c>
      <c r="F32">
        <v>-3.727058</v>
      </c>
      <c r="G32">
        <v>677.79998799999998</v>
      </c>
      <c r="H32">
        <v>0</v>
      </c>
      <c r="I32">
        <v>0</v>
      </c>
      <c r="J32" s="8">
        <v>253.62299999999999</v>
      </c>
      <c r="K32" s="8">
        <v>199.126</v>
      </c>
      <c r="L32">
        <v>176.00470000000001</v>
      </c>
      <c r="M32">
        <v>15</v>
      </c>
      <c r="N32" s="7">
        <v>329.40100000000001</v>
      </c>
      <c r="O32" s="7">
        <v>338.65600000000001</v>
      </c>
      <c r="P32">
        <v>356.00470000000001</v>
      </c>
      <c r="Q32">
        <v>45</v>
      </c>
      <c r="R32" s="8">
        <v>31.713000000000001</v>
      </c>
      <c r="S32" s="8">
        <v>53.258000000000003</v>
      </c>
      <c r="T32">
        <v>266.00470000000001</v>
      </c>
      <c r="U32">
        <v>90</v>
      </c>
      <c r="V32" s="9">
        <v>675.56299999999999</v>
      </c>
      <c r="W32" s="9">
        <v>816.03700000000003</v>
      </c>
      <c r="X32">
        <v>86.004700000000014</v>
      </c>
      <c r="Y32">
        <v>90</v>
      </c>
      <c r="Z32" s="8">
        <v>44.841000000000001</v>
      </c>
      <c r="AA32" s="8">
        <v>94.998999999999995</v>
      </c>
      <c r="AC32">
        <f t="shared" si="0"/>
        <v>54.496999999999986</v>
      </c>
      <c r="AD32">
        <f t="shared" si="1"/>
        <v>9.2549999999999955</v>
      </c>
      <c r="AE32">
        <f t="shared" si="2"/>
        <v>21.545000000000002</v>
      </c>
      <c r="AF32">
        <f t="shared" si="3"/>
        <v>140.47400000000005</v>
      </c>
      <c r="AG32">
        <f t="shared" si="4"/>
        <v>50.157999999999994</v>
      </c>
    </row>
    <row r="33" spans="1:33" x14ac:dyDescent="0.35">
      <c r="A33" s="1">
        <v>31</v>
      </c>
      <c r="B33" t="s">
        <v>117</v>
      </c>
      <c r="C33" t="s">
        <v>114</v>
      </c>
      <c r="D33" t="s">
        <v>115</v>
      </c>
      <c r="E33">
        <v>40.453243000000001</v>
      </c>
      <c r="F33">
        <v>-3.727058</v>
      </c>
      <c r="G33">
        <v>677.79998799999998</v>
      </c>
      <c r="H33">
        <v>0</v>
      </c>
      <c r="I33">
        <v>0</v>
      </c>
      <c r="J33" s="8">
        <v>252.57</v>
      </c>
      <c r="K33" s="8">
        <v>219.87299999999999</v>
      </c>
      <c r="L33">
        <v>176.01702900000001</v>
      </c>
      <c r="M33">
        <v>15</v>
      </c>
      <c r="N33" s="7">
        <v>328.12400000000002</v>
      </c>
      <c r="O33" s="7">
        <v>344.73599999999999</v>
      </c>
      <c r="P33">
        <v>356.01702899999998</v>
      </c>
      <c r="Q33">
        <v>45</v>
      </c>
      <c r="R33" s="9">
        <v>31.654</v>
      </c>
      <c r="S33" s="9">
        <v>107.24299999999999</v>
      </c>
      <c r="T33">
        <v>266.01702899999998</v>
      </c>
      <c r="U33">
        <v>90</v>
      </c>
      <c r="V33" s="9">
        <v>674.9</v>
      </c>
      <c r="W33" s="9">
        <v>671.22900000000004</v>
      </c>
      <c r="X33">
        <v>86.017029000000008</v>
      </c>
      <c r="Y33">
        <v>90</v>
      </c>
      <c r="Z33" s="8">
        <v>44.697000000000003</v>
      </c>
      <c r="AA33" s="8">
        <v>101.373</v>
      </c>
      <c r="AC33">
        <f t="shared" si="0"/>
        <v>32.697000000000003</v>
      </c>
      <c r="AD33">
        <f t="shared" si="1"/>
        <v>16.611999999999966</v>
      </c>
      <c r="AE33">
        <f t="shared" si="2"/>
        <v>75.588999999999999</v>
      </c>
      <c r="AF33">
        <f t="shared" si="3"/>
        <v>3.6709999999999354</v>
      </c>
      <c r="AG33">
        <f t="shared" si="4"/>
        <v>56.676000000000002</v>
      </c>
    </row>
    <row r="34" spans="1:33" x14ac:dyDescent="0.35">
      <c r="A34" s="1">
        <v>32</v>
      </c>
      <c r="B34" t="s">
        <v>118</v>
      </c>
      <c r="C34" t="s">
        <v>119</v>
      </c>
      <c r="D34" t="s">
        <v>120</v>
      </c>
      <c r="E34">
        <v>40.453243000000001</v>
      </c>
      <c r="F34">
        <v>-3.727058</v>
      </c>
      <c r="G34">
        <v>677.79998799999998</v>
      </c>
      <c r="H34">
        <v>0</v>
      </c>
      <c r="I34">
        <v>0</v>
      </c>
      <c r="J34" s="8">
        <v>251.56899999999999</v>
      </c>
      <c r="K34" s="8">
        <v>129.50700000000001</v>
      </c>
      <c r="L34">
        <v>176.00607299999999</v>
      </c>
      <c r="M34">
        <v>15</v>
      </c>
      <c r="N34" s="7">
        <v>326.84500000000003</v>
      </c>
      <c r="O34" s="7">
        <v>342.49599999999998</v>
      </c>
      <c r="P34">
        <v>356.00607300000001</v>
      </c>
      <c r="Q34">
        <v>45</v>
      </c>
      <c r="R34" s="8">
        <v>31.597999999999999</v>
      </c>
      <c r="S34" s="8">
        <v>89.075000000000003</v>
      </c>
      <c r="T34">
        <v>266.00607300000001</v>
      </c>
      <c r="U34">
        <v>90</v>
      </c>
      <c r="V34" s="9">
        <v>674.38900000000001</v>
      </c>
      <c r="W34" s="9">
        <v>819.97699999999998</v>
      </c>
      <c r="X34">
        <v>86.006072999999986</v>
      </c>
      <c r="Y34">
        <v>90</v>
      </c>
      <c r="Z34" s="8">
        <v>44.561</v>
      </c>
      <c r="AA34" s="8">
        <v>102.29900000000001</v>
      </c>
      <c r="AC34">
        <f t="shared" si="0"/>
        <v>122.06199999999998</v>
      </c>
      <c r="AD34">
        <f t="shared" si="1"/>
        <v>15.650999999999954</v>
      </c>
      <c r="AE34">
        <f t="shared" si="2"/>
        <v>57.477000000000004</v>
      </c>
      <c r="AF34">
        <f t="shared" si="3"/>
        <v>145.58799999999997</v>
      </c>
      <c r="AG34">
        <f t="shared" si="4"/>
        <v>57.738000000000007</v>
      </c>
    </row>
    <row r="35" spans="1:33" x14ac:dyDescent="0.35">
      <c r="A35" s="1">
        <v>33</v>
      </c>
      <c r="B35" t="s">
        <v>121</v>
      </c>
      <c r="C35" t="s">
        <v>119</v>
      </c>
      <c r="D35" t="s">
        <v>120</v>
      </c>
      <c r="E35">
        <v>40.453243000000001</v>
      </c>
      <c r="F35">
        <v>-3.727058</v>
      </c>
      <c r="G35">
        <v>677.79998799999998</v>
      </c>
      <c r="H35">
        <v>0</v>
      </c>
      <c r="I35">
        <v>0</v>
      </c>
      <c r="J35" s="8">
        <v>250.51499999999999</v>
      </c>
      <c r="K35" s="8">
        <v>195.49</v>
      </c>
      <c r="L35">
        <v>176.04512</v>
      </c>
      <c r="M35">
        <v>15</v>
      </c>
      <c r="N35" s="7">
        <v>325.642</v>
      </c>
      <c r="O35" s="7">
        <v>334.81599999999997</v>
      </c>
      <c r="P35">
        <v>356.04512</v>
      </c>
      <c r="Q35">
        <v>45</v>
      </c>
      <c r="R35" s="8">
        <v>31.539000000000001</v>
      </c>
      <c r="S35" s="8">
        <v>52.323999999999998</v>
      </c>
      <c r="T35">
        <v>266.04512</v>
      </c>
      <c r="U35">
        <v>90</v>
      </c>
      <c r="V35" s="9">
        <v>673.56200000000001</v>
      </c>
      <c r="W35" s="9">
        <v>816.46299999999997</v>
      </c>
      <c r="X35">
        <v>86.045119999999997</v>
      </c>
      <c r="Y35">
        <v>90</v>
      </c>
      <c r="Z35" s="8">
        <v>44.417000000000002</v>
      </c>
      <c r="AA35" s="8">
        <v>81.325000000000003</v>
      </c>
      <c r="AC35">
        <f t="shared" si="0"/>
        <v>55.024999999999977</v>
      </c>
      <c r="AD35">
        <f t="shared" si="1"/>
        <v>9.1739999999999782</v>
      </c>
      <c r="AE35">
        <f t="shared" si="2"/>
        <v>20.784999999999997</v>
      </c>
      <c r="AF35">
        <f t="shared" si="3"/>
        <v>142.90099999999995</v>
      </c>
      <c r="AG35">
        <f t="shared" si="4"/>
        <v>36.908000000000001</v>
      </c>
    </row>
    <row r="36" spans="1:33" x14ac:dyDescent="0.35">
      <c r="A36" s="1">
        <v>34</v>
      </c>
      <c r="B36" t="s">
        <v>122</v>
      </c>
      <c r="C36" t="s">
        <v>119</v>
      </c>
      <c r="D36" t="s">
        <v>120</v>
      </c>
      <c r="E36">
        <v>40.453243000000001</v>
      </c>
      <c r="F36">
        <v>-3.727058</v>
      </c>
      <c r="G36">
        <v>677.79998799999998</v>
      </c>
      <c r="H36">
        <v>0</v>
      </c>
      <c r="I36">
        <v>0</v>
      </c>
      <c r="J36" s="8">
        <v>249.46100000000001</v>
      </c>
      <c r="K36" s="8">
        <v>199.768</v>
      </c>
      <c r="L36">
        <v>176.08303799999999</v>
      </c>
      <c r="M36">
        <v>15</v>
      </c>
      <c r="N36" s="7">
        <v>324.435</v>
      </c>
      <c r="O36" s="7">
        <v>337.05599999999998</v>
      </c>
      <c r="P36">
        <v>356.08303799999999</v>
      </c>
      <c r="Q36">
        <v>45</v>
      </c>
      <c r="R36" s="8">
        <v>31.48</v>
      </c>
      <c r="S36" s="8">
        <v>54.814999999999998</v>
      </c>
      <c r="T36">
        <v>266.08303799999999</v>
      </c>
      <c r="U36">
        <v>90</v>
      </c>
      <c r="V36" s="9">
        <v>672.73400000000004</v>
      </c>
      <c r="W36" s="9">
        <v>816.57</v>
      </c>
      <c r="X36">
        <v>86.083037999999988</v>
      </c>
      <c r="Y36">
        <v>90</v>
      </c>
      <c r="Z36" s="8">
        <v>44.273000000000003</v>
      </c>
      <c r="AA36" s="8">
        <v>93.662000000000006</v>
      </c>
      <c r="AC36">
        <f t="shared" si="0"/>
        <v>49.693000000000012</v>
      </c>
      <c r="AD36">
        <f t="shared" si="1"/>
        <v>12.620999999999981</v>
      </c>
      <c r="AE36">
        <f t="shared" si="2"/>
        <v>23.334999999999997</v>
      </c>
      <c r="AF36">
        <f t="shared" si="3"/>
        <v>143.83600000000001</v>
      </c>
      <c r="AG36">
        <f t="shared" si="4"/>
        <v>49.389000000000003</v>
      </c>
    </row>
    <row r="37" spans="1:33" x14ac:dyDescent="0.35">
      <c r="A37" s="1">
        <v>35</v>
      </c>
      <c r="B37" t="s">
        <v>123</v>
      </c>
      <c r="C37" t="s">
        <v>124</v>
      </c>
      <c r="D37" t="s">
        <v>125</v>
      </c>
      <c r="E37">
        <v>40.453243000000001</v>
      </c>
      <c r="F37">
        <v>-3.727058</v>
      </c>
      <c r="G37">
        <v>677.79998799999998</v>
      </c>
      <c r="H37">
        <v>0</v>
      </c>
      <c r="I37">
        <v>0</v>
      </c>
      <c r="J37" s="8">
        <v>248.405</v>
      </c>
      <c r="K37" s="8">
        <v>193.99299999999999</v>
      </c>
      <c r="L37">
        <v>176.09622200000001</v>
      </c>
      <c r="M37">
        <v>15</v>
      </c>
      <c r="N37" s="7">
        <v>323.15600000000001</v>
      </c>
      <c r="O37" s="7">
        <v>332.149</v>
      </c>
      <c r="P37">
        <v>356.09622200000001</v>
      </c>
      <c r="Q37">
        <v>45</v>
      </c>
      <c r="R37" s="8">
        <v>31.42</v>
      </c>
      <c r="S37" s="8">
        <v>51.182000000000002</v>
      </c>
      <c r="T37">
        <v>266.09622200000001</v>
      </c>
      <c r="U37">
        <v>90</v>
      </c>
      <c r="V37" s="9">
        <v>672.03499999999997</v>
      </c>
      <c r="W37" s="9">
        <v>817.31500000000005</v>
      </c>
      <c r="X37">
        <v>86.096222000000012</v>
      </c>
      <c r="Y37">
        <v>90</v>
      </c>
      <c r="Z37" s="8">
        <v>44.128999999999998</v>
      </c>
      <c r="AA37" s="8">
        <v>80.707999999999998</v>
      </c>
      <c r="AC37">
        <f t="shared" si="0"/>
        <v>54.412000000000006</v>
      </c>
      <c r="AD37">
        <f t="shared" si="1"/>
        <v>8.992999999999995</v>
      </c>
      <c r="AE37">
        <f t="shared" si="2"/>
        <v>19.762</v>
      </c>
      <c r="AF37">
        <f t="shared" si="3"/>
        <v>145.28000000000009</v>
      </c>
      <c r="AG37">
        <f t="shared" si="4"/>
        <v>36.579000000000001</v>
      </c>
    </row>
    <row r="38" spans="1:33" x14ac:dyDescent="0.35">
      <c r="A38" s="1">
        <v>36</v>
      </c>
      <c r="B38" t="s">
        <v>126</v>
      </c>
      <c r="C38" t="s">
        <v>124</v>
      </c>
      <c r="D38" t="s">
        <v>125</v>
      </c>
      <c r="E38">
        <v>40.453243000000001</v>
      </c>
      <c r="F38">
        <v>-3.727058</v>
      </c>
      <c r="G38">
        <v>677.79998799999998</v>
      </c>
      <c r="H38">
        <v>0</v>
      </c>
      <c r="I38">
        <v>0</v>
      </c>
      <c r="J38" s="8">
        <v>247.35</v>
      </c>
      <c r="K38" s="8">
        <v>191.53299999999999</v>
      </c>
      <c r="L38">
        <v>176.102203</v>
      </c>
      <c r="M38">
        <v>15</v>
      </c>
      <c r="N38" s="7">
        <v>321.85700000000003</v>
      </c>
      <c r="O38" s="7">
        <v>330.12299999999999</v>
      </c>
      <c r="P38">
        <v>356.10220299999997</v>
      </c>
      <c r="Q38">
        <v>45</v>
      </c>
      <c r="R38" s="8">
        <v>31.361000000000001</v>
      </c>
      <c r="S38" s="8">
        <v>50.661999999999999</v>
      </c>
      <c r="T38">
        <v>266.10220299999997</v>
      </c>
      <c r="U38">
        <v>90</v>
      </c>
      <c r="V38" s="9">
        <v>671.36699999999996</v>
      </c>
      <c r="W38" s="9">
        <v>816.25</v>
      </c>
      <c r="X38">
        <v>86.102203000000003</v>
      </c>
      <c r="Y38">
        <v>90</v>
      </c>
      <c r="Z38" s="8">
        <v>43.984999999999999</v>
      </c>
      <c r="AA38" s="8">
        <v>80.501999999999995</v>
      </c>
      <c r="AC38">
        <f t="shared" si="0"/>
        <v>55.817000000000007</v>
      </c>
      <c r="AD38">
        <f t="shared" si="1"/>
        <v>8.2659999999999627</v>
      </c>
      <c r="AE38">
        <f t="shared" si="2"/>
        <v>19.300999999999998</v>
      </c>
      <c r="AF38">
        <f t="shared" si="3"/>
        <v>144.88300000000004</v>
      </c>
      <c r="AG38">
        <f t="shared" si="4"/>
        <v>36.516999999999996</v>
      </c>
    </row>
    <row r="39" spans="1:33" x14ac:dyDescent="0.35">
      <c r="A39" s="1">
        <v>37</v>
      </c>
      <c r="B39" t="s">
        <v>127</v>
      </c>
      <c r="C39" t="s">
        <v>124</v>
      </c>
      <c r="D39" t="s">
        <v>125</v>
      </c>
      <c r="E39">
        <v>40.453243000000001</v>
      </c>
      <c r="F39">
        <v>-3.727058</v>
      </c>
      <c r="G39">
        <v>677.79998799999998</v>
      </c>
      <c r="H39">
        <v>0</v>
      </c>
      <c r="I39">
        <v>0</v>
      </c>
      <c r="J39" s="8">
        <v>246.29300000000001</v>
      </c>
      <c r="K39" s="8">
        <v>191.10599999999999</v>
      </c>
      <c r="L39">
        <v>176.09790000000001</v>
      </c>
      <c r="M39">
        <v>15</v>
      </c>
      <c r="N39" s="7">
        <v>320.52699999999999</v>
      </c>
      <c r="O39" s="7">
        <v>329.26900000000001</v>
      </c>
      <c r="P39">
        <v>356.09789999999998</v>
      </c>
      <c r="Q39">
        <v>45</v>
      </c>
      <c r="R39" s="8">
        <v>31.300999999999998</v>
      </c>
      <c r="S39" s="8">
        <v>50.973999999999997</v>
      </c>
      <c r="T39">
        <v>266.09789999999998</v>
      </c>
      <c r="U39">
        <v>90</v>
      </c>
      <c r="V39" s="9">
        <v>670.74699999999996</v>
      </c>
      <c r="W39" s="9">
        <v>817.52800000000002</v>
      </c>
      <c r="X39">
        <v>86.09790000000001</v>
      </c>
      <c r="Y39">
        <v>90</v>
      </c>
      <c r="Z39" s="8">
        <v>43.84</v>
      </c>
      <c r="AA39" s="8">
        <v>81.427999999999997</v>
      </c>
      <c r="AC39">
        <f t="shared" si="0"/>
        <v>55.187000000000012</v>
      </c>
      <c r="AD39">
        <f t="shared" si="1"/>
        <v>8.7420000000000186</v>
      </c>
      <c r="AE39">
        <f t="shared" si="2"/>
        <v>19.672999999999998</v>
      </c>
      <c r="AF39">
        <f t="shared" si="3"/>
        <v>146.78100000000006</v>
      </c>
      <c r="AG39">
        <f t="shared" si="4"/>
        <v>37.587999999999994</v>
      </c>
    </row>
    <row r="40" spans="1:33" x14ac:dyDescent="0.35">
      <c r="A40" s="1">
        <v>38</v>
      </c>
      <c r="B40" t="s">
        <v>128</v>
      </c>
      <c r="C40" t="s">
        <v>129</v>
      </c>
      <c r="D40" t="s">
        <v>130</v>
      </c>
      <c r="E40">
        <v>40.453243000000001</v>
      </c>
      <c r="F40">
        <v>-3.727058</v>
      </c>
      <c r="G40">
        <v>677.79998799999998</v>
      </c>
      <c r="H40">
        <v>0</v>
      </c>
      <c r="I40">
        <v>0</v>
      </c>
      <c r="J40" s="8">
        <v>245.23599999999999</v>
      </c>
      <c r="K40" s="8">
        <v>190.464</v>
      </c>
      <c r="L40">
        <v>176.06395000000001</v>
      </c>
      <c r="M40">
        <v>15</v>
      </c>
      <c r="N40" s="7">
        <v>319.113</v>
      </c>
      <c r="O40" s="7">
        <v>328.20299999999997</v>
      </c>
      <c r="P40">
        <v>356.06394999999998</v>
      </c>
      <c r="Q40">
        <v>45</v>
      </c>
      <c r="R40" s="8">
        <v>31.241</v>
      </c>
      <c r="S40" s="8">
        <v>51.284999999999997</v>
      </c>
      <c r="T40">
        <v>266.06394999999998</v>
      </c>
      <c r="U40">
        <v>90</v>
      </c>
      <c r="V40" s="9">
        <v>670.28</v>
      </c>
      <c r="W40" s="9">
        <v>817.63499999999999</v>
      </c>
      <c r="X40">
        <v>86.063950000000006</v>
      </c>
      <c r="Y40">
        <v>90</v>
      </c>
      <c r="Z40" s="8">
        <v>43.695999999999998</v>
      </c>
      <c r="AA40" s="8">
        <v>80.914000000000001</v>
      </c>
      <c r="AC40">
        <f t="shared" si="0"/>
        <v>54.771999999999991</v>
      </c>
      <c r="AD40">
        <f t="shared" si="1"/>
        <v>9.089999999999975</v>
      </c>
      <c r="AE40">
        <f t="shared" si="2"/>
        <v>20.043999999999997</v>
      </c>
      <c r="AF40">
        <f t="shared" si="3"/>
        <v>147.35500000000002</v>
      </c>
      <c r="AG40">
        <f t="shared" si="4"/>
        <v>37.218000000000004</v>
      </c>
    </row>
    <row r="41" spans="1:33" x14ac:dyDescent="0.35">
      <c r="A41" s="1">
        <v>39</v>
      </c>
      <c r="B41" t="s">
        <v>131</v>
      </c>
      <c r="C41" t="s">
        <v>129</v>
      </c>
      <c r="D41" t="s">
        <v>130</v>
      </c>
      <c r="E41">
        <v>40.453243000000001</v>
      </c>
      <c r="F41">
        <v>-3.727058</v>
      </c>
      <c r="G41">
        <v>677.79998799999998</v>
      </c>
      <c r="H41">
        <v>0</v>
      </c>
      <c r="I41">
        <v>0</v>
      </c>
      <c r="J41" s="8">
        <v>244.232</v>
      </c>
      <c r="K41" s="8">
        <v>190.143</v>
      </c>
      <c r="L41">
        <v>176.04272499999999</v>
      </c>
      <c r="M41">
        <v>15</v>
      </c>
      <c r="N41" s="7">
        <v>317.79899999999998</v>
      </c>
      <c r="O41" s="7">
        <v>326.709</v>
      </c>
      <c r="P41">
        <v>356.04272500000002</v>
      </c>
      <c r="Q41">
        <v>45</v>
      </c>
      <c r="R41" s="8">
        <v>31.184000000000001</v>
      </c>
      <c r="S41" s="8">
        <v>53.466000000000001</v>
      </c>
      <c r="T41">
        <v>266.04272500000002</v>
      </c>
      <c r="U41">
        <v>90</v>
      </c>
      <c r="V41" s="9">
        <v>669.76599999999996</v>
      </c>
      <c r="W41" s="9">
        <v>818.16700000000003</v>
      </c>
      <c r="X41">
        <v>86.04272499999999</v>
      </c>
      <c r="Y41">
        <v>90</v>
      </c>
      <c r="Z41" s="8">
        <v>43.558</v>
      </c>
      <c r="AA41" s="8">
        <v>82.558999999999997</v>
      </c>
      <c r="AC41">
        <f t="shared" si="0"/>
        <v>54.088999999999999</v>
      </c>
      <c r="AD41">
        <f t="shared" si="1"/>
        <v>8.910000000000025</v>
      </c>
      <c r="AE41">
        <f t="shared" si="2"/>
        <v>22.282</v>
      </c>
      <c r="AF41">
        <f t="shared" si="3"/>
        <v>148.40100000000007</v>
      </c>
      <c r="AG41">
        <f t="shared" si="4"/>
        <v>39.000999999999998</v>
      </c>
    </row>
    <row r="42" spans="1:33" x14ac:dyDescent="0.35">
      <c r="A42" s="1">
        <v>40</v>
      </c>
      <c r="B42" t="s">
        <v>132</v>
      </c>
      <c r="C42" t="s">
        <v>129</v>
      </c>
      <c r="D42" t="s">
        <v>130</v>
      </c>
      <c r="E42">
        <v>40.453243000000001</v>
      </c>
      <c r="F42">
        <v>-3.727058</v>
      </c>
      <c r="G42">
        <v>677.79998799999998</v>
      </c>
      <c r="H42">
        <v>0</v>
      </c>
      <c r="I42">
        <v>0</v>
      </c>
      <c r="J42" s="8">
        <v>243.12100000000001</v>
      </c>
      <c r="K42" s="8">
        <v>190.785</v>
      </c>
      <c r="L42">
        <v>176.05001799999999</v>
      </c>
      <c r="M42">
        <v>15</v>
      </c>
      <c r="N42" s="7">
        <v>316.43400000000003</v>
      </c>
      <c r="O42" s="7">
        <v>325.21600000000001</v>
      </c>
      <c r="P42">
        <v>356.05001800000002</v>
      </c>
      <c r="Q42">
        <v>45</v>
      </c>
      <c r="R42" s="8">
        <v>31.120999999999999</v>
      </c>
      <c r="S42" s="8">
        <v>60.420999999999999</v>
      </c>
      <c r="T42">
        <v>266.05001800000002</v>
      </c>
      <c r="U42">
        <v>90</v>
      </c>
      <c r="V42" s="9">
        <v>669.02200000000005</v>
      </c>
      <c r="W42" s="9">
        <v>816.99599999999998</v>
      </c>
      <c r="X42">
        <v>86.050017999999994</v>
      </c>
      <c r="Y42">
        <v>90</v>
      </c>
      <c r="Z42" s="8">
        <v>43.405999999999999</v>
      </c>
      <c r="AA42" s="8">
        <v>94.484999999999999</v>
      </c>
      <c r="AC42">
        <f t="shared" si="0"/>
        <v>52.336000000000013</v>
      </c>
      <c r="AD42">
        <f t="shared" si="1"/>
        <v>8.7819999999999823</v>
      </c>
      <c r="AE42">
        <f t="shared" si="2"/>
        <v>29.3</v>
      </c>
      <c r="AF42">
        <f t="shared" si="3"/>
        <v>147.97399999999993</v>
      </c>
      <c r="AG42">
        <f t="shared" si="4"/>
        <v>51.079000000000001</v>
      </c>
    </row>
    <row r="43" spans="1:33" x14ac:dyDescent="0.35">
      <c r="A43" s="1">
        <v>41</v>
      </c>
      <c r="B43" t="s">
        <v>133</v>
      </c>
      <c r="C43" t="s">
        <v>134</v>
      </c>
      <c r="D43" t="s">
        <v>135</v>
      </c>
      <c r="E43">
        <v>40.453243000000001</v>
      </c>
      <c r="F43">
        <v>-3.727058</v>
      </c>
      <c r="G43">
        <v>677.79998799999998</v>
      </c>
      <c r="H43">
        <v>0</v>
      </c>
      <c r="I43">
        <v>0</v>
      </c>
      <c r="J43" s="8">
        <v>242.06299999999999</v>
      </c>
      <c r="K43" s="8">
        <v>189.608</v>
      </c>
      <c r="L43">
        <v>175.99168399999999</v>
      </c>
      <c r="M43">
        <v>15</v>
      </c>
      <c r="N43" s="7">
        <v>314.94900000000001</v>
      </c>
      <c r="O43" s="7">
        <v>324.04300000000001</v>
      </c>
      <c r="P43">
        <v>355.99168400000002</v>
      </c>
      <c r="Q43">
        <v>45</v>
      </c>
      <c r="R43" s="8">
        <v>31.06</v>
      </c>
      <c r="S43" s="8">
        <v>60.628999999999998</v>
      </c>
      <c r="T43">
        <v>265.99168400000002</v>
      </c>
      <c r="U43">
        <v>90</v>
      </c>
      <c r="V43" s="9">
        <v>668.65499999999997</v>
      </c>
      <c r="W43" s="9">
        <v>817.31500000000005</v>
      </c>
      <c r="X43">
        <v>85.991683999999992</v>
      </c>
      <c r="Y43">
        <v>90</v>
      </c>
      <c r="Z43" s="8">
        <v>43.261000000000003</v>
      </c>
      <c r="AA43" s="8">
        <v>94.896000000000001</v>
      </c>
      <c r="AC43">
        <f t="shared" si="0"/>
        <v>52.454999999999984</v>
      </c>
      <c r="AD43">
        <f t="shared" si="1"/>
        <v>9.0939999999999941</v>
      </c>
      <c r="AE43">
        <f t="shared" si="2"/>
        <v>29.568999999999999</v>
      </c>
      <c r="AF43">
        <f t="shared" si="3"/>
        <v>148.66000000000008</v>
      </c>
      <c r="AG43">
        <f t="shared" si="4"/>
        <v>51.634999999999998</v>
      </c>
    </row>
    <row r="44" spans="1:33" x14ac:dyDescent="0.35">
      <c r="A44" s="1">
        <v>42</v>
      </c>
      <c r="B44" t="s">
        <v>136</v>
      </c>
      <c r="C44" t="s">
        <v>134</v>
      </c>
      <c r="D44" t="s">
        <v>135</v>
      </c>
      <c r="E44">
        <v>40.453243000000001</v>
      </c>
      <c r="F44">
        <v>-3.727058</v>
      </c>
      <c r="G44">
        <v>677.79998799999998</v>
      </c>
      <c r="H44">
        <v>0</v>
      </c>
      <c r="I44">
        <v>0</v>
      </c>
      <c r="J44" s="8">
        <v>241.00399999999999</v>
      </c>
      <c r="K44" s="8">
        <v>188.86</v>
      </c>
      <c r="L44">
        <v>175.965317</v>
      </c>
      <c r="M44">
        <v>15</v>
      </c>
      <c r="N44" s="7">
        <v>313.553</v>
      </c>
      <c r="O44" s="7">
        <v>322.33600000000001</v>
      </c>
      <c r="P44">
        <v>355.96531700000003</v>
      </c>
      <c r="Q44">
        <v>45</v>
      </c>
      <c r="R44" s="8">
        <v>31</v>
      </c>
      <c r="S44" s="8">
        <v>62.704999999999998</v>
      </c>
      <c r="T44">
        <v>265.96531700000003</v>
      </c>
      <c r="U44">
        <v>90</v>
      </c>
      <c r="V44" s="9">
        <v>668.10599999999999</v>
      </c>
      <c r="W44" s="9">
        <v>816.03700000000003</v>
      </c>
      <c r="X44">
        <v>85.965316999999999</v>
      </c>
      <c r="Y44">
        <v>90</v>
      </c>
      <c r="Z44" s="8">
        <v>43.116</v>
      </c>
      <c r="AA44" s="8">
        <v>93.046000000000006</v>
      </c>
      <c r="AC44">
        <f t="shared" si="0"/>
        <v>52.143999999999977</v>
      </c>
      <c r="AD44">
        <f t="shared" si="1"/>
        <v>8.7830000000000155</v>
      </c>
      <c r="AE44">
        <f t="shared" si="2"/>
        <v>31.704999999999998</v>
      </c>
      <c r="AF44">
        <f t="shared" si="3"/>
        <v>147.93100000000004</v>
      </c>
      <c r="AG44">
        <f t="shared" si="4"/>
        <v>49.930000000000007</v>
      </c>
    </row>
    <row r="45" spans="1:33" x14ac:dyDescent="0.35">
      <c r="A45" s="1">
        <v>43</v>
      </c>
      <c r="B45" t="s">
        <v>137</v>
      </c>
      <c r="C45" t="s">
        <v>134</v>
      </c>
      <c r="D45" t="s">
        <v>135</v>
      </c>
      <c r="E45">
        <v>40.453243000000001</v>
      </c>
      <c r="F45">
        <v>-3.727058</v>
      </c>
      <c r="G45">
        <v>677.79998799999998</v>
      </c>
      <c r="H45">
        <v>0</v>
      </c>
      <c r="I45">
        <v>0</v>
      </c>
      <c r="J45" s="8">
        <v>239.94399999999999</v>
      </c>
      <c r="K45" s="8">
        <v>186.935</v>
      </c>
      <c r="L45">
        <v>175.99527</v>
      </c>
      <c r="M45">
        <v>15</v>
      </c>
      <c r="N45" s="7">
        <v>312.315</v>
      </c>
      <c r="O45" s="7">
        <v>320.73599999999999</v>
      </c>
      <c r="P45">
        <v>355.99527</v>
      </c>
      <c r="Q45">
        <v>45</v>
      </c>
      <c r="R45" s="8">
        <v>30.939</v>
      </c>
      <c r="S45" s="8">
        <v>60.11</v>
      </c>
      <c r="T45">
        <v>265.99527</v>
      </c>
      <c r="U45">
        <v>90</v>
      </c>
      <c r="V45" s="9">
        <v>667.24599999999998</v>
      </c>
      <c r="W45" s="9">
        <v>815.82500000000005</v>
      </c>
      <c r="X45">
        <v>85.995270000000005</v>
      </c>
      <c r="Y45">
        <v>90</v>
      </c>
      <c r="Z45" s="8">
        <v>42.970999999999997</v>
      </c>
      <c r="AA45" s="8">
        <v>91.298000000000002</v>
      </c>
      <c r="AC45">
        <f t="shared" si="0"/>
        <v>53.008999999999986</v>
      </c>
      <c r="AD45">
        <f t="shared" si="1"/>
        <v>8.4209999999999923</v>
      </c>
      <c r="AE45">
        <f t="shared" si="2"/>
        <v>29.170999999999999</v>
      </c>
      <c r="AF45">
        <f t="shared" si="3"/>
        <v>148.57900000000006</v>
      </c>
      <c r="AG45">
        <f t="shared" si="4"/>
        <v>48.327000000000005</v>
      </c>
    </row>
    <row r="46" spans="1:33" x14ac:dyDescent="0.35">
      <c r="A46" s="1">
        <v>44</v>
      </c>
      <c r="B46" t="s">
        <v>138</v>
      </c>
      <c r="C46" t="s">
        <v>139</v>
      </c>
      <c r="D46" t="s">
        <v>140</v>
      </c>
      <c r="E46">
        <v>40.453243000000001</v>
      </c>
      <c r="F46">
        <v>-3.727058</v>
      </c>
      <c r="G46">
        <v>677.79998799999998</v>
      </c>
      <c r="H46">
        <v>0</v>
      </c>
      <c r="I46">
        <v>0</v>
      </c>
      <c r="J46" s="8">
        <v>238.88399999999999</v>
      </c>
      <c r="K46" s="8">
        <v>184.68899999999999</v>
      </c>
      <c r="L46">
        <v>176.02076700000001</v>
      </c>
      <c r="M46">
        <v>15</v>
      </c>
      <c r="N46" s="7">
        <v>311.06400000000002</v>
      </c>
      <c r="O46" s="7">
        <v>319.13600000000002</v>
      </c>
      <c r="P46">
        <v>356.02076699999998</v>
      </c>
      <c r="Q46">
        <v>45</v>
      </c>
      <c r="R46" s="8">
        <v>30.878</v>
      </c>
      <c r="S46" s="8">
        <v>51.182000000000002</v>
      </c>
      <c r="T46">
        <v>266.02076699999998</v>
      </c>
      <c r="U46">
        <v>90</v>
      </c>
      <c r="V46" s="9">
        <v>666.40200000000004</v>
      </c>
      <c r="W46" s="9">
        <v>816.46299999999997</v>
      </c>
      <c r="X46">
        <v>86.020767000000006</v>
      </c>
      <c r="Y46">
        <v>90</v>
      </c>
      <c r="Z46" s="8">
        <v>42.825000000000003</v>
      </c>
      <c r="AA46" s="8">
        <v>82.045000000000002</v>
      </c>
      <c r="AC46">
        <f t="shared" si="0"/>
        <v>54.194999999999993</v>
      </c>
      <c r="AD46">
        <f t="shared" si="1"/>
        <v>8.0720000000000027</v>
      </c>
      <c r="AE46">
        <f t="shared" si="2"/>
        <v>20.304000000000002</v>
      </c>
      <c r="AF46">
        <f t="shared" si="3"/>
        <v>150.06099999999992</v>
      </c>
      <c r="AG46">
        <f t="shared" si="4"/>
        <v>39.22</v>
      </c>
    </row>
    <row r="47" spans="1:33" x14ac:dyDescent="0.35">
      <c r="A47" s="1">
        <v>45</v>
      </c>
      <c r="B47" s="3" t="s">
        <v>141</v>
      </c>
      <c r="C47" s="3" t="s">
        <v>139</v>
      </c>
      <c r="D47" s="3" t="s">
        <v>140</v>
      </c>
      <c r="E47" s="3">
        <v>40.453243000000001</v>
      </c>
      <c r="F47" s="3">
        <v>-3.727058</v>
      </c>
      <c r="G47" s="3">
        <v>677.79998799999998</v>
      </c>
      <c r="H47" s="3">
        <v>0</v>
      </c>
      <c r="I47" s="3">
        <v>0</v>
      </c>
      <c r="J47" s="8">
        <v>237.82400000000001</v>
      </c>
      <c r="K47" s="8">
        <v>184.36799999999999</v>
      </c>
      <c r="L47" s="3">
        <v>176.05032299999999</v>
      </c>
      <c r="M47" s="3">
        <v>15</v>
      </c>
      <c r="N47" s="7">
        <v>309.82299999999998</v>
      </c>
      <c r="O47" s="7">
        <v>318.70999999999998</v>
      </c>
      <c r="P47" s="3">
        <v>356.05032299999999</v>
      </c>
      <c r="Q47" s="3">
        <v>45</v>
      </c>
      <c r="R47" s="8">
        <v>30.817</v>
      </c>
      <c r="S47" s="8">
        <v>50.765999999999998</v>
      </c>
      <c r="T47" s="3">
        <v>266.05032299999999</v>
      </c>
      <c r="U47" s="3">
        <v>90</v>
      </c>
      <c r="V47" s="9">
        <v>665.52800000000002</v>
      </c>
      <c r="W47" s="9">
        <v>814.54700000000003</v>
      </c>
      <c r="X47" s="3">
        <v>86.050322999999992</v>
      </c>
      <c r="Y47" s="3">
        <v>90</v>
      </c>
      <c r="Z47" s="8">
        <v>42.68</v>
      </c>
      <c r="AA47" s="8">
        <v>85.129000000000005</v>
      </c>
      <c r="AC47">
        <f t="shared" si="0"/>
        <v>53.456000000000017</v>
      </c>
      <c r="AD47">
        <f t="shared" si="1"/>
        <v>8.8870000000000005</v>
      </c>
      <c r="AE47">
        <f t="shared" si="2"/>
        <v>19.948999999999998</v>
      </c>
      <c r="AF47">
        <f t="shared" si="3"/>
        <v>149.01900000000001</v>
      </c>
      <c r="AG47">
        <f t="shared" si="4"/>
        <v>42.449000000000005</v>
      </c>
    </row>
    <row r="48" spans="1:33" x14ac:dyDescent="0.35">
      <c r="A48" s="2">
        <v>46</v>
      </c>
      <c r="B48" t="s">
        <v>142</v>
      </c>
      <c r="C48" t="s">
        <v>143</v>
      </c>
      <c r="D48" t="s">
        <v>144</v>
      </c>
      <c r="E48">
        <v>40.453243000000001</v>
      </c>
      <c r="F48">
        <v>-3.727058</v>
      </c>
      <c r="G48">
        <v>677.79998799999998</v>
      </c>
      <c r="H48">
        <v>0</v>
      </c>
      <c r="I48">
        <v>0</v>
      </c>
      <c r="J48" s="8">
        <v>220.905</v>
      </c>
      <c r="K48" s="8">
        <v>168.113</v>
      </c>
      <c r="L48">
        <v>87.112746999999999</v>
      </c>
      <c r="M48">
        <v>15</v>
      </c>
      <c r="N48" s="7">
        <v>57.621000000000002</v>
      </c>
      <c r="O48" s="7">
        <v>40.424999999999997</v>
      </c>
      <c r="P48">
        <v>267.11274700000001</v>
      </c>
      <c r="Q48">
        <v>45</v>
      </c>
      <c r="R48" s="7">
        <v>597.31200000000001</v>
      </c>
      <c r="S48" s="7">
        <v>595.49199999999996</v>
      </c>
      <c r="T48">
        <v>177.11274700000001</v>
      </c>
      <c r="U48">
        <v>90</v>
      </c>
      <c r="V48" s="9">
        <v>337.26</v>
      </c>
      <c r="W48" s="9">
        <v>646.63300000000004</v>
      </c>
      <c r="X48">
        <v>357.11274700000001</v>
      </c>
      <c r="Y48">
        <v>90</v>
      </c>
      <c r="Z48" s="7">
        <v>40.345999999999997</v>
      </c>
      <c r="AA48" s="7">
        <v>57.164000000000001</v>
      </c>
      <c r="AC48">
        <f t="shared" si="0"/>
        <v>52.792000000000002</v>
      </c>
      <c r="AD48">
        <f t="shared" si="1"/>
        <v>17.196000000000005</v>
      </c>
      <c r="AE48">
        <f t="shared" si="2"/>
        <v>1.82000000000005</v>
      </c>
      <c r="AF48">
        <f t="shared" si="3"/>
        <v>309.37300000000005</v>
      </c>
      <c r="AG48">
        <f t="shared" si="4"/>
        <v>16.818000000000005</v>
      </c>
    </row>
    <row r="49" spans="1:33" x14ac:dyDescent="0.35">
      <c r="A49" s="1">
        <v>47</v>
      </c>
      <c r="B49" t="s">
        <v>145</v>
      </c>
      <c r="C49" t="s">
        <v>146</v>
      </c>
      <c r="D49" t="s">
        <v>147</v>
      </c>
      <c r="E49">
        <v>40.453243000000001</v>
      </c>
      <c r="F49">
        <v>-3.727058</v>
      </c>
      <c r="G49">
        <v>677.79998799999998</v>
      </c>
      <c r="H49">
        <v>0</v>
      </c>
      <c r="I49">
        <v>0</v>
      </c>
      <c r="J49" s="8">
        <v>219.83699999999999</v>
      </c>
      <c r="K49" s="8">
        <v>168.113</v>
      </c>
      <c r="L49">
        <v>87.185257000000007</v>
      </c>
      <c r="M49">
        <v>15</v>
      </c>
      <c r="N49" s="7">
        <v>56.865000000000002</v>
      </c>
      <c r="O49" s="7">
        <v>40.851999999999997</v>
      </c>
      <c r="P49">
        <v>267.18525699999998</v>
      </c>
      <c r="Q49">
        <v>45</v>
      </c>
      <c r="R49" s="7">
        <v>595.74599999999998</v>
      </c>
      <c r="S49" s="7">
        <v>595.38800000000003</v>
      </c>
      <c r="T49">
        <v>177.18525700000001</v>
      </c>
      <c r="U49">
        <v>90</v>
      </c>
      <c r="V49" s="9">
        <v>336.70600000000002</v>
      </c>
      <c r="W49" s="9">
        <v>644.71600000000001</v>
      </c>
      <c r="X49">
        <v>357.18525699999998</v>
      </c>
      <c r="Y49">
        <v>90</v>
      </c>
      <c r="Z49" s="7">
        <v>40.198</v>
      </c>
      <c r="AA49" s="7">
        <v>56.854999999999997</v>
      </c>
      <c r="AC49">
        <f t="shared" si="0"/>
        <v>51.72399999999999</v>
      </c>
      <c r="AD49">
        <f t="shared" si="1"/>
        <v>16.013000000000005</v>
      </c>
      <c r="AE49">
        <f t="shared" si="2"/>
        <v>0.35799999999994725</v>
      </c>
      <c r="AF49">
        <f t="shared" si="3"/>
        <v>308.01</v>
      </c>
      <c r="AG49">
        <f t="shared" si="4"/>
        <v>16.656999999999996</v>
      </c>
    </row>
    <row r="50" spans="1:33" x14ac:dyDescent="0.35">
      <c r="A50" s="1">
        <v>48</v>
      </c>
      <c r="B50" t="s">
        <v>148</v>
      </c>
      <c r="C50" t="s">
        <v>146</v>
      </c>
      <c r="D50" t="s">
        <v>147</v>
      </c>
      <c r="E50">
        <v>40.453243000000001</v>
      </c>
      <c r="F50">
        <v>-3.727058</v>
      </c>
      <c r="G50">
        <v>677.79998799999998</v>
      </c>
      <c r="H50">
        <v>0</v>
      </c>
      <c r="I50">
        <v>0</v>
      </c>
      <c r="J50" s="8">
        <v>218.77</v>
      </c>
      <c r="K50" s="8">
        <v>167.578</v>
      </c>
      <c r="L50">
        <v>87.186295000000001</v>
      </c>
      <c r="M50">
        <v>15</v>
      </c>
      <c r="N50" s="7">
        <v>56.015999999999998</v>
      </c>
      <c r="O50" s="7">
        <v>42.238999999999997</v>
      </c>
      <c r="P50">
        <v>267.18629499999997</v>
      </c>
      <c r="Q50">
        <v>45</v>
      </c>
      <c r="R50" s="7">
        <v>594.43600000000004</v>
      </c>
      <c r="S50" s="7">
        <v>595.70000000000005</v>
      </c>
      <c r="T50">
        <v>177.186295</v>
      </c>
      <c r="U50">
        <v>90</v>
      </c>
      <c r="V50" s="9">
        <v>335.39400000000001</v>
      </c>
      <c r="W50" s="9">
        <v>644.71600000000001</v>
      </c>
      <c r="X50">
        <v>357.18629499999997</v>
      </c>
      <c r="Y50">
        <v>90</v>
      </c>
      <c r="Z50" s="7">
        <v>40.049999999999997</v>
      </c>
      <c r="AA50" s="7">
        <v>57.164000000000001</v>
      </c>
      <c r="AC50">
        <f t="shared" si="0"/>
        <v>51.192000000000007</v>
      </c>
      <c r="AD50">
        <f t="shared" si="1"/>
        <v>13.777000000000001</v>
      </c>
      <c r="AE50">
        <f t="shared" si="2"/>
        <v>1.26400000000001</v>
      </c>
      <c r="AF50">
        <f t="shared" si="3"/>
        <v>309.322</v>
      </c>
      <c r="AG50">
        <f t="shared" si="4"/>
        <v>17.114000000000004</v>
      </c>
    </row>
    <row r="51" spans="1:33" x14ac:dyDescent="0.35">
      <c r="A51" s="1">
        <v>49</v>
      </c>
      <c r="B51" t="s">
        <v>149</v>
      </c>
      <c r="C51" t="s">
        <v>146</v>
      </c>
      <c r="D51" t="s">
        <v>147</v>
      </c>
      <c r="E51">
        <v>40.453243000000001</v>
      </c>
      <c r="F51">
        <v>-3.727058</v>
      </c>
      <c r="G51">
        <v>677.79998799999998</v>
      </c>
      <c r="H51">
        <v>0</v>
      </c>
      <c r="I51">
        <v>0</v>
      </c>
      <c r="J51" s="8">
        <v>217.702</v>
      </c>
      <c r="K51" s="8">
        <v>165.54599999999999</v>
      </c>
      <c r="L51">
        <v>87.160529999999994</v>
      </c>
      <c r="M51">
        <v>15</v>
      </c>
      <c r="N51" s="7">
        <v>55.134</v>
      </c>
      <c r="O51" s="7">
        <v>41.811999999999998</v>
      </c>
      <c r="P51">
        <v>267.16052999999999</v>
      </c>
      <c r="Q51">
        <v>45</v>
      </c>
      <c r="R51" s="7">
        <v>593.21600000000001</v>
      </c>
      <c r="S51" s="7">
        <v>594.86900000000003</v>
      </c>
      <c r="T51">
        <v>177.16052999999999</v>
      </c>
      <c r="U51">
        <v>90</v>
      </c>
      <c r="V51" s="9">
        <v>333.798</v>
      </c>
      <c r="W51" s="9">
        <v>643.33199999999999</v>
      </c>
      <c r="X51">
        <v>357.16052999999999</v>
      </c>
      <c r="Y51">
        <v>90</v>
      </c>
      <c r="Z51" s="7">
        <v>39.901000000000003</v>
      </c>
      <c r="AA51" s="7">
        <v>56.546999999999997</v>
      </c>
      <c r="AC51">
        <f t="shared" si="0"/>
        <v>52.156000000000006</v>
      </c>
      <c r="AD51">
        <f t="shared" si="1"/>
        <v>13.322000000000003</v>
      </c>
      <c r="AE51">
        <f t="shared" si="2"/>
        <v>1.65300000000002</v>
      </c>
      <c r="AF51">
        <f t="shared" si="3"/>
        <v>309.53399999999999</v>
      </c>
      <c r="AG51">
        <f t="shared" si="4"/>
        <v>16.645999999999994</v>
      </c>
    </row>
    <row r="52" spans="1:33" x14ac:dyDescent="0.35">
      <c r="A52" s="1">
        <v>50</v>
      </c>
      <c r="B52" t="s">
        <v>150</v>
      </c>
      <c r="C52" t="s">
        <v>151</v>
      </c>
      <c r="D52" t="s">
        <v>152</v>
      </c>
      <c r="E52">
        <v>40.453243000000001</v>
      </c>
      <c r="F52">
        <v>-3.727058</v>
      </c>
      <c r="G52">
        <v>677.79998799999998</v>
      </c>
      <c r="H52">
        <v>0</v>
      </c>
      <c r="I52">
        <v>0</v>
      </c>
      <c r="J52" s="8">
        <v>216.63300000000001</v>
      </c>
      <c r="K52" s="8">
        <v>164.798</v>
      </c>
      <c r="L52">
        <v>87.161475999999993</v>
      </c>
      <c r="M52">
        <v>15</v>
      </c>
      <c r="N52" s="7">
        <v>54.29</v>
      </c>
      <c r="O52" s="7">
        <v>41.704999999999998</v>
      </c>
      <c r="P52">
        <v>267.16147599999999</v>
      </c>
      <c r="Q52">
        <v>45</v>
      </c>
      <c r="R52" s="7">
        <v>591.89099999999996</v>
      </c>
      <c r="S52" s="7">
        <v>594.35</v>
      </c>
      <c r="T52">
        <v>177.16147599999999</v>
      </c>
      <c r="U52">
        <v>90</v>
      </c>
      <c r="V52" s="9">
        <v>332.48200000000003</v>
      </c>
      <c r="W52" s="9">
        <v>641.52200000000005</v>
      </c>
      <c r="X52">
        <v>357.16147599999999</v>
      </c>
      <c r="Y52">
        <v>90</v>
      </c>
      <c r="Z52" s="7">
        <v>39.753</v>
      </c>
      <c r="AA52" s="7">
        <v>56.854999999999997</v>
      </c>
      <c r="AC52">
        <f t="shared" si="0"/>
        <v>51.835000000000008</v>
      </c>
      <c r="AD52">
        <f t="shared" si="1"/>
        <v>12.585000000000001</v>
      </c>
      <c r="AE52">
        <f t="shared" si="2"/>
        <v>2.45900000000006</v>
      </c>
      <c r="AF52">
        <f t="shared" si="3"/>
        <v>309.04000000000002</v>
      </c>
      <c r="AG52">
        <f t="shared" si="4"/>
        <v>17.101999999999997</v>
      </c>
    </row>
    <row r="53" spans="1:33" x14ac:dyDescent="0.35">
      <c r="A53" s="1">
        <v>51</v>
      </c>
      <c r="B53" t="s">
        <v>153</v>
      </c>
      <c r="C53" t="s">
        <v>151</v>
      </c>
      <c r="D53" t="s">
        <v>152</v>
      </c>
      <c r="E53">
        <v>40.453243000000001</v>
      </c>
      <c r="F53">
        <v>-3.727058</v>
      </c>
      <c r="G53">
        <v>677.79998799999998</v>
      </c>
      <c r="H53">
        <v>0</v>
      </c>
      <c r="I53">
        <v>0</v>
      </c>
      <c r="J53" s="8">
        <v>215.511</v>
      </c>
      <c r="K53" s="8">
        <v>162.97999999999999</v>
      </c>
      <c r="L53">
        <v>87.208633000000006</v>
      </c>
      <c r="M53">
        <v>15</v>
      </c>
      <c r="N53" s="7">
        <v>53.466000000000001</v>
      </c>
      <c r="O53" s="7">
        <v>41.064999999999998</v>
      </c>
      <c r="P53">
        <v>267.20863300000002</v>
      </c>
      <c r="Q53">
        <v>45</v>
      </c>
      <c r="R53" s="7">
        <v>590.32500000000005</v>
      </c>
      <c r="S53" s="7">
        <v>593.10400000000004</v>
      </c>
      <c r="T53">
        <v>177.20863299999999</v>
      </c>
      <c r="U53">
        <v>90</v>
      </c>
      <c r="V53" s="9">
        <v>331.58499999999998</v>
      </c>
      <c r="W53" s="9">
        <v>639.28599999999994</v>
      </c>
      <c r="X53">
        <v>357.20863300000002</v>
      </c>
      <c r="Y53">
        <v>90</v>
      </c>
      <c r="Z53" s="7">
        <v>39.597000000000001</v>
      </c>
      <c r="AA53" s="7">
        <v>56.136000000000003</v>
      </c>
      <c r="AC53">
        <f t="shared" si="0"/>
        <v>52.531000000000006</v>
      </c>
      <c r="AD53">
        <f t="shared" si="1"/>
        <v>12.401000000000003</v>
      </c>
      <c r="AE53">
        <f t="shared" si="2"/>
        <v>2.7789999999999964</v>
      </c>
      <c r="AF53">
        <f t="shared" si="3"/>
        <v>307.70099999999996</v>
      </c>
      <c r="AG53">
        <f t="shared" si="4"/>
        <v>16.539000000000001</v>
      </c>
    </row>
    <row r="54" spans="1:33" x14ac:dyDescent="0.35">
      <c r="A54" s="1">
        <v>52</v>
      </c>
      <c r="B54" t="s">
        <v>154</v>
      </c>
      <c r="C54" t="s">
        <v>151</v>
      </c>
      <c r="D54" t="s">
        <v>152</v>
      </c>
      <c r="E54">
        <v>40.453243000000001</v>
      </c>
      <c r="F54">
        <v>-3.727058</v>
      </c>
      <c r="G54">
        <v>677.79998799999998</v>
      </c>
      <c r="H54">
        <v>0</v>
      </c>
      <c r="I54">
        <v>0</v>
      </c>
      <c r="J54" s="8">
        <v>214.44200000000001</v>
      </c>
      <c r="K54" s="8">
        <v>163.72800000000001</v>
      </c>
      <c r="L54">
        <v>87.219481999999999</v>
      </c>
      <c r="M54">
        <v>15</v>
      </c>
      <c r="N54" s="7">
        <v>52.64</v>
      </c>
      <c r="O54" s="7">
        <v>42.131999999999998</v>
      </c>
      <c r="P54">
        <v>267.21948200000003</v>
      </c>
      <c r="Q54">
        <v>45</v>
      </c>
      <c r="R54" s="7">
        <v>588.95000000000005</v>
      </c>
      <c r="S54" s="7">
        <v>593.20799999999997</v>
      </c>
      <c r="T54">
        <v>177.219482</v>
      </c>
      <c r="U54">
        <v>90</v>
      </c>
      <c r="V54" s="9">
        <v>330.36900000000003</v>
      </c>
      <c r="W54" s="9">
        <v>638.86</v>
      </c>
      <c r="X54">
        <v>357.21948200000003</v>
      </c>
      <c r="Y54">
        <v>90</v>
      </c>
      <c r="Z54" s="7">
        <v>39.448</v>
      </c>
      <c r="AA54" s="7">
        <v>56.546999999999997</v>
      </c>
      <c r="AC54">
        <f t="shared" si="0"/>
        <v>50.713999999999999</v>
      </c>
      <c r="AD54">
        <f t="shared" si="1"/>
        <v>10.508000000000003</v>
      </c>
      <c r="AE54">
        <f t="shared" si="2"/>
        <v>4.2579999999999245</v>
      </c>
      <c r="AF54">
        <f t="shared" si="3"/>
        <v>308.49099999999999</v>
      </c>
      <c r="AG54">
        <f t="shared" si="4"/>
        <v>17.098999999999997</v>
      </c>
    </row>
    <row r="55" spans="1:33" x14ac:dyDescent="0.35">
      <c r="A55" s="1">
        <v>53</v>
      </c>
      <c r="B55" t="s">
        <v>155</v>
      </c>
      <c r="C55" t="s">
        <v>156</v>
      </c>
      <c r="D55" t="s">
        <v>157</v>
      </c>
      <c r="E55">
        <v>40.453243000000001</v>
      </c>
      <c r="F55">
        <v>-3.727058</v>
      </c>
      <c r="G55">
        <v>677.79998799999998</v>
      </c>
      <c r="H55">
        <v>0</v>
      </c>
      <c r="I55">
        <v>0</v>
      </c>
      <c r="J55" s="8">
        <v>213.42599999999999</v>
      </c>
      <c r="K55" s="8">
        <v>162.55199999999999</v>
      </c>
      <c r="L55">
        <v>87.222793999999993</v>
      </c>
      <c r="M55">
        <v>15</v>
      </c>
      <c r="N55" s="7">
        <v>51.847000000000001</v>
      </c>
      <c r="O55" s="7">
        <v>40.959000000000003</v>
      </c>
      <c r="P55">
        <v>267.22279400000002</v>
      </c>
      <c r="Q55">
        <v>45</v>
      </c>
      <c r="R55" s="7">
        <v>587.66200000000003</v>
      </c>
      <c r="S55" s="7">
        <v>592.68899999999996</v>
      </c>
      <c r="T55">
        <v>177.22279399999999</v>
      </c>
      <c r="U55">
        <v>90</v>
      </c>
      <c r="V55" s="9">
        <v>329.13900000000001</v>
      </c>
      <c r="W55" s="9">
        <v>636.19799999999998</v>
      </c>
      <c r="X55">
        <v>357.22279400000002</v>
      </c>
      <c r="Y55">
        <v>90</v>
      </c>
      <c r="Z55" s="7">
        <v>39.305999999999997</v>
      </c>
      <c r="AA55" s="7">
        <v>56.341000000000001</v>
      </c>
      <c r="AC55">
        <f t="shared" si="0"/>
        <v>50.873999999999995</v>
      </c>
      <c r="AD55">
        <f t="shared" si="1"/>
        <v>10.887999999999998</v>
      </c>
      <c r="AE55">
        <f t="shared" si="2"/>
        <v>5.02699999999993</v>
      </c>
      <c r="AF55">
        <f t="shared" si="3"/>
        <v>307.05899999999997</v>
      </c>
      <c r="AG55">
        <f t="shared" si="4"/>
        <v>17.035000000000004</v>
      </c>
    </row>
    <row r="56" spans="1:33" x14ac:dyDescent="0.35">
      <c r="A56" s="1">
        <v>54</v>
      </c>
      <c r="B56" t="s">
        <v>158</v>
      </c>
      <c r="C56" t="s">
        <v>156</v>
      </c>
      <c r="D56" t="s">
        <v>157</v>
      </c>
      <c r="E56">
        <v>40.453243000000001</v>
      </c>
      <c r="F56">
        <v>-3.727058</v>
      </c>
      <c r="G56">
        <v>677.79998799999998</v>
      </c>
      <c r="H56">
        <v>0</v>
      </c>
      <c r="I56">
        <v>0</v>
      </c>
      <c r="J56" s="8">
        <v>212.357</v>
      </c>
      <c r="K56" s="8">
        <v>160.52000000000001</v>
      </c>
      <c r="L56">
        <v>87.202370000000002</v>
      </c>
      <c r="M56">
        <v>15</v>
      </c>
      <c r="N56" s="7">
        <v>50.984000000000002</v>
      </c>
      <c r="O56" s="7">
        <v>40.212000000000003</v>
      </c>
      <c r="P56">
        <v>267.20236999999997</v>
      </c>
      <c r="Q56">
        <v>45</v>
      </c>
      <c r="R56" s="7">
        <v>586.38400000000001</v>
      </c>
      <c r="S56" s="7">
        <v>591.02800000000002</v>
      </c>
      <c r="T56">
        <v>177.20237</v>
      </c>
      <c r="U56">
        <v>90</v>
      </c>
      <c r="V56" s="9">
        <v>327.59199999999998</v>
      </c>
      <c r="W56" s="9">
        <v>634.28200000000004</v>
      </c>
      <c r="X56">
        <v>357.20236999999997</v>
      </c>
      <c r="Y56">
        <v>90</v>
      </c>
      <c r="Z56" s="7">
        <v>39.156999999999996</v>
      </c>
      <c r="AA56" s="7">
        <v>55.622</v>
      </c>
      <c r="AC56">
        <f t="shared" si="0"/>
        <v>51.836999999999989</v>
      </c>
      <c r="AD56">
        <f t="shared" si="1"/>
        <v>10.771999999999998</v>
      </c>
      <c r="AE56">
        <f t="shared" si="2"/>
        <v>4.6440000000000055</v>
      </c>
      <c r="AF56">
        <f t="shared" si="3"/>
        <v>306.69000000000005</v>
      </c>
      <c r="AG56">
        <f t="shared" si="4"/>
        <v>16.465000000000003</v>
      </c>
    </row>
    <row r="57" spans="1:33" x14ac:dyDescent="0.35">
      <c r="A57" s="1">
        <v>55</v>
      </c>
      <c r="B57" t="s">
        <v>159</v>
      </c>
      <c r="C57" t="s">
        <v>156</v>
      </c>
      <c r="D57" t="s">
        <v>157</v>
      </c>
      <c r="E57">
        <v>40.453243000000001</v>
      </c>
      <c r="F57">
        <v>-3.727058</v>
      </c>
      <c r="G57">
        <v>677.79998799999998</v>
      </c>
      <c r="H57">
        <v>0</v>
      </c>
      <c r="I57">
        <v>0</v>
      </c>
      <c r="J57" s="8">
        <v>211.28700000000001</v>
      </c>
      <c r="K57" s="8">
        <v>159.34399999999999</v>
      </c>
      <c r="L57">
        <v>87.224334999999996</v>
      </c>
      <c r="M57">
        <v>15</v>
      </c>
      <c r="N57" s="7">
        <v>50.177999999999997</v>
      </c>
      <c r="O57" s="7">
        <v>40.424999999999997</v>
      </c>
      <c r="P57">
        <v>267.224335</v>
      </c>
      <c r="Q57">
        <v>45</v>
      </c>
      <c r="R57" s="7">
        <v>584.947</v>
      </c>
      <c r="S57" s="7">
        <v>590.61300000000006</v>
      </c>
      <c r="T57">
        <v>177.224335</v>
      </c>
      <c r="U57">
        <v>90</v>
      </c>
      <c r="V57" s="9">
        <v>326.488</v>
      </c>
      <c r="W57" s="9">
        <v>633.21699999999998</v>
      </c>
      <c r="X57">
        <v>357.224335</v>
      </c>
      <c r="Y57">
        <v>90</v>
      </c>
      <c r="Z57" s="7">
        <v>39.008000000000003</v>
      </c>
      <c r="AA57" s="7">
        <v>55.622</v>
      </c>
      <c r="AC57">
        <f t="shared" si="0"/>
        <v>51.943000000000012</v>
      </c>
      <c r="AD57">
        <f t="shared" si="1"/>
        <v>9.7530000000000001</v>
      </c>
      <c r="AE57">
        <f t="shared" si="2"/>
        <v>5.6660000000000537</v>
      </c>
      <c r="AF57">
        <f t="shared" si="3"/>
        <v>306.72899999999998</v>
      </c>
      <c r="AG57">
        <f t="shared" si="4"/>
        <v>16.613999999999997</v>
      </c>
    </row>
    <row r="58" spans="1:33" x14ac:dyDescent="0.35">
      <c r="A58" s="1">
        <v>56</v>
      </c>
      <c r="B58" t="s">
        <v>160</v>
      </c>
      <c r="C58" t="s">
        <v>161</v>
      </c>
      <c r="D58" t="s">
        <v>162</v>
      </c>
      <c r="E58">
        <v>40.453243000000001</v>
      </c>
      <c r="F58">
        <v>-3.727058</v>
      </c>
      <c r="G58">
        <v>677.79998799999998</v>
      </c>
      <c r="H58">
        <v>0</v>
      </c>
      <c r="I58">
        <v>0</v>
      </c>
      <c r="J58" s="8">
        <v>210.21700000000001</v>
      </c>
      <c r="K58" s="8">
        <v>158.274</v>
      </c>
      <c r="L58">
        <v>87.239593999999997</v>
      </c>
      <c r="M58">
        <v>15</v>
      </c>
      <c r="N58" s="7">
        <v>49.366</v>
      </c>
      <c r="O58" s="7">
        <v>40.851999999999997</v>
      </c>
      <c r="P58">
        <v>267.23959400000001</v>
      </c>
      <c r="Q58">
        <v>45</v>
      </c>
      <c r="R58" s="7">
        <v>583.52700000000004</v>
      </c>
      <c r="S58" s="7">
        <v>589.88599999999997</v>
      </c>
      <c r="T58">
        <v>177.23959400000001</v>
      </c>
      <c r="U58">
        <v>90</v>
      </c>
      <c r="V58" s="9">
        <v>325.31200000000001</v>
      </c>
      <c r="W58" s="9">
        <v>631.08699999999999</v>
      </c>
      <c r="X58">
        <v>357.23959400000001</v>
      </c>
      <c r="Y58">
        <v>90</v>
      </c>
      <c r="Z58" s="7">
        <v>38.859000000000002</v>
      </c>
      <c r="AA58" s="7">
        <v>55.622</v>
      </c>
      <c r="AC58">
        <f t="shared" si="0"/>
        <v>51.943000000000012</v>
      </c>
      <c r="AD58">
        <f t="shared" si="1"/>
        <v>8.5140000000000029</v>
      </c>
      <c r="AE58">
        <f t="shared" si="2"/>
        <v>6.3589999999999236</v>
      </c>
      <c r="AF58">
        <f t="shared" si="3"/>
        <v>305.77499999999998</v>
      </c>
      <c r="AG58">
        <f t="shared" si="4"/>
        <v>16.762999999999998</v>
      </c>
    </row>
    <row r="59" spans="1:33" x14ac:dyDescent="0.35">
      <c r="A59" s="1">
        <v>57</v>
      </c>
      <c r="B59" t="s">
        <v>163</v>
      </c>
      <c r="C59" t="s">
        <v>161</v>
      </c>
      <c r="D59" t="s">
        <v>162</v>
      </c>
      <c r="E59">
        <v>40.453243000000001</v>
      </c>
      <c r="F59">
        <v>-3.727058</v>
      </c>
      <c r="G59">
        <v>677.79998799999998</v>
      </c>
      <c r="H59">
        <v>0</v>
      </c>
      <c r="I59">
        <v>0</v>
      </c>
      <c r="J59" s="8">
        <v>209.14699999999999</v>
      </c>
      <c r="K59" s="8">
        <v>157.63300000000001</v>
      </c>
      <c r="L59">
        <v>87.211815000000001</v>
      </c>
      <c r="M59">
        <v>15</v>
      </c>
      <c r="N59" s="7">
        <v>48.500999999999998</v>
      </c>
      <c r="O59" s="7">
        <v>39.999000000000002</v>
      </c>
      <c r="P59">
        <v>267.211815</v>
      </c>
      <c r="Q59">
        <v>45</v>
      </c>
      <c r="R59" s="7">
        <v>582.25099999999998</v>
      </c>
      <c r="S59" s="7">
        <v>589.57399999999996</v>
      </c>
      <c r="T59">
        <v>177.211815</v>
      </c>
      <c r="U59">
        <v>90</v>
      </c>
      <c r="V59" s="9">
        <v>323.68400000000003</v>
      </c>
      <c r="W59" s="9">
        <v>629.59699999999998</v>
      </c>
      <c r="X59">
        <v>357.211815</v>
      </c>
      <c r="Y59">
        <v>90</v>
      </c>
      <c r="Z59" s="7">
        <v>38.709000000000003</v>
      </c>
      <c r="AA59" s="7">
        <v>55.313000000000002</v>
      </c>
      <c r="AC59">
        <f t="shared" si="0"/>
        <v>51.513999999999982</v>
      </c>
      <c r="AD59">
        <f t="shared" si="1"/>
        <v>8.5019999999999953</v>
      </c>
      <c r="AE59">
        <f t="shared" si="2"/>
        <v>7.3229999999999791</v>
      </c>
      <c r="AF59">
        <f t="shared" si="3"/>
        <v>305.91299999999995</v>
      </c>
      <c r="AG59">
        <f t="shared" si="4"/>
        <v>16.603999999999999</v>
      </c>
    </row>
    <row r="60" spans="1:33" x14ac:dyDescent="0.35">
      <c r="A60" s="1">
        <v>58</v>
      </c>
      <c r="B60" t="s">
        <v>164</v>
      </c>
      <c r="C60" t="s">
        <v>161</v>
      </c>
      <c r="D60" t="s">
        <v>162</v>
      </c>
      <c r="E60">
        <v>40.453243000000001</v>
      </c>
      <c r="F60">
        <v>-3.727058</v>
      </c>
      <c r="G60">
        <v>677.79998799999998</v>
      </c>
      <c r="H60">
        <v>0</v>
      </c>
      <c r="I60">
        <v>0</v>
      </c>
      <c r="J60" s="8">
        <v>208.07599999999999</v>
      </c>
      <c r="K60" s="8">
        <v>156.13499999999999</v>
      </c>
      <c r="L60">
        <v>87.178145999999998</v>
      </c>
      <c r="M60">
        <v>15</v>
      </c>
      <c r="N60" s="7">
        <v>47.631999999999998</v>
      </c>
      <c r="O60" s="7">
        <v>40.531999999999996</v>
      </c>
      <c r="P60">
        <v>267.17814600000003</v>
      </c>
      <c r="Q60">
        <v>45</v>
      </c>
      <c r="R60" s="7">
        <v>580.98800000000006</v>
      </c>
      <c r="S60" s="7">
        <v>588.43200000000002</v>
      </c>
      <c r="T60">
        <v>177.178146</v>
      </c>
      <c r="U60">
        <v>90</v>
      </c>
      <c r="V60" s="9">
        <v>321.99400000000003</v>
      </c>
      <c r="W60" s="9">
        <v>627.67999999999995</v>
      </c>
      <c r="X60">
        <v>357.17814600000003</v>
      </c>
      <c r="Y60">
        <v>90</v>
      </c>
      <c r="Z60" s="7">
        <v>38.56</v>
      </c>
      <c r="AA60" s="7">
        <v>55.313000000000002</v>
      </c>
      <c r="AC60">
        <f t="shared" si="0"/>
        <v>51.941000000000003</v>
      </c>
      <c r="AD60">
        <f t="shared" si="1"/>
        <v>7.1000000000000014</v>
      </c>
      <c r="AE60">
        <f t="shared" si="2"/>
        <v>7.44399999999996</v>
      </c>
      <c r="AF60">
        <f t="shared" si="3"/>
        <v>305.68599999999992</v>
      </c>
      <c r="AG60">
        <f t="shared" si="4"/>
        <v>16.753</v>
      </c>
    </row>
    <row r="61" spans="1:33" x14ac:dyDescent="0.35">
      <c r="A61" s="1">
        <v>59</v>
      </c>
      <c r="B61" t="s">
        <v>165</v>
      </c>
      <c r="C61" t="s">
        <v>166</v>
      </c>
      <c r="D61" t="s">
        <v>167</v>
      </c>
      <c r="E61">
        <v>40.453243000000001</v>
      </c>
      <c r="F61">
        <v>-3.727058</v>
      </c>
      <c r="G61">
        <v>677.79998799999998</v>
      </c>
      <c r="H61">
        <v>0</v>
      </c>
      <c r="I61">
        <v>0</v>
      </c>
      <c r="J61" s="8">
        <v>207.005</v>
      </c>
      <c r="K61" s="8">
        <v>155.601</v>
      </c>
      <c r="L61">
        <v>87.202431000000004</v>
      </c>
      <c r="M61">
        <v>15</v>
      </c>
      <c r="N61" s="7">
        <v>46.838999999999999</v>
      </c>
      <c r="O61" s="7">
        <v>39.892000000000003</v>
      </c>
      <c r="P61">
        <v>267.20243099999999</v>
      </c>
      <c r="Q61">
        <v>45</v>
      </c>
      <c r="R61" s="7">
        <v>579.51400000000001</v>
      </c>
      <c r="S61" s="7">
        <v>588.43200000000002</v>
      </c>
      <c r="T61">
        <v>177.20243099999999</v>
      </c>
      <c r="U61">
        <v>90</v>
      </c>
      <c r="V61" s="9">
        <v>320.90699999999998</v>
      </c>
      <c r="W61" s="9">
        <v>625.87</v>
      </c>
      <c r="X61">
        <v>357.20243099999999</v>
      </c>
      <c r="Y61">
        <v>90</v>
      </c>
      <c r="Z61" s="7">
        <v>38.409999999999997</v>
      </c>
      <c r="AA61" s="7">
        <v>55.005000000000003</v>
      </c>
      <c r="AC61">
        <f t="shared" si="0"/>
        <v>51.403999999999996</v>
      </c>
      <c r="AD61">
        <f t="shared" si="1"/>
        <v>6.9469999999999956</v>
      </c>
      <c r="AE61">
        <f t="shared" si="2"/>
        <v>8.9180000000000064</v>
      </c>
      <c r="AF61">
        <f t="shared" si="3"/>
        <v>304.96300000000002</v>
      </c>
      <c r="AG61">
        <f t="shared" si="4"/>
        <v>16.595000000000006</v>
      </c>
    </row>
    <row r="62" spans="1:33" x14ac:dyDescent="0.35">
      <c r="A62" s="1">
        <v>60</v>
      </c>
      <c r="B62" t="s">
        <v>168</v>
      </c>
      <c r="C62" t="s">
        <v>166</v>
      </c>
      <c r="D62" t="s">
        <v>167</v>
      </c>
      <c r="E62">
        <v>40.453243000000001</v>
      </c>
      <c r="F62">
        <v>-3.727058</v>
      </c>
      <c r="G62">
        <v>677.79998799999998</v>
      </c>
      <c r="H62">
        <v>0</v>
      </c>
      <c r="I62">
        <v>0</v>
      </c>
      <c r="J62" s="8">
        <v>205.988</v>
      </c>
      <c r="K62" s="8">
        <v>154.53100000000001</v>
      </c>
      <c r="L62">
        <v>87.170319000000006</v>
      </c>
      <c r="M62">
        <v>15</v>
      </c>
      <c r="N62" s="7">
        <v>46.017000000000003</v>
      </c>
      <c r="O62" s="7">
        <v>39.999000000000002</v>
      </c>
      <c r="P62">
        <v>267.17031900000001</v>
      </c>
      <c r="Q62">
        <v>45</v>
      </c>
      <c r="R62" s="7">
        <v>578.298</v>
      </c>
      <c r="S62" s="7">
        <v>588.22500000000002</v>
      </c>
      <c r="T62">
        <v>177.17031900000001</v>
      </c>
      <c r="U62">
        <v>90</v>
      </c>
      <c r="V62" s="9">
        <v>319.298</v>
      </c>
      <c r="W62" s="9">
        <v>625.01800000000003</v>
      </c>
      <c r="X62">
        <v>357.17031900000001</v>
      </c>
      <c r="Y62">
        <v>90</v>
      </c>
      <c r="Z62" s="7">
        <v>38.268000000000001</v>
      </c>
      <c r="AA62" s="7">
        <v>55.313000000000002</v>
      </c>
      <c r="AC62">
        <f t="shared" si="0"/>
        <v>51.456999999999994</v>
      </c>
      <c r="AD62">
        <f t="shared" si="1"/>
        <v>6.0180000000000007</v>
      </c>
      <c r="AE62">
        <f t="shared" si="2"/>
        <v>9.9270000000000209</v>
      </c>
      <c r="AF62">
        <f t="shared" si="3"/>
        <v>305.72000000000003</v>
      </c>
      <c r="AG62">
        <f t="shared" si="4"/>
        <v>17.045000000000002</v>
      </c>
    </row>
    <row r="63" spans="1:33" x14ac:dyDescent="0.35">
      <c r="A63" s="1">
        <v>61</v>
      </c>
      <c r="B63" t="s">
        <v>169</v>
      </c>
      <c r="C63" t="s">
        <v>166</v>
      </c>
      <c r="D63" t="s">
        <v>167</v>
      </c>
      <c r="E63">
        <v>40.453243000000001</v>
      </c>
      <c r="F63">
        <v>-3.727058</v>
      </c>
      <c r="G63">
        <v>677.79998799999998</v>
      </c>
      <c r="H63">
        <v>0</v>
      </c>
      <c r="I63">
        <v>0</v>
      </c>
      <c r="J63" s="8">
        <v>204.917</v>
      </c>
      <c r="K63" s="8">
        <v>153.24799999999999</v>
      </c>
      <c r="L63">
        <v>87.136016999999995</v>
      </c>
      <c r="M63">
        <v>15</v>
      </c>
      <c r="N63" s="7">
        <v>45.155000000000001</v>
      </c>
      <c r="O63" s="7">
        <v>39.465000000000003</v>
      </c>
      <c r="P63">
        <v>267.13601699999998</v>
      </c>
      <c r="Q63">
        <v>45</v>
      </c>
      <c r="R63" s="7">
        <v>577.01099999999997</v>
      </c>
      <c r="S63" s="7">
        <v>586.875</v>
      </c>
      <c r="T63">
        <v>177.13601700000001</v>
      </c>
      <c r="U63">
        <v>90</v>
      </c>
      <c r="V63" s="9">
        <v>317.59899999999999</v>
      </c>
      <c r="W63" s="9">
        <v>623.74</v>
      </c>
      <c r="X63">
        <v>357.13601699999998</v>
      </c>
      <c r="Y63">
        <v>90</v>
      </c>
      <c r="Z63" s="7">
        <v>38.118000000000002</v>
      </c>
      <c r="AA63" s="7">
        <v>55.313000000000002</v>
      </c>
      <c r="AC63">
        <f t="shared" si="0"/>
        <v>51.669000000000011</v>
      </c>
      <c r="AD63">
        <f t="shared" si="1"/>
        <v>5.6899999999999977</v>
      </c>
      <c r="AE63">
        <f t="shared" si="2"/>
        <v>9.8640000000000327</v>
      </c>
      <c r="AF63">
        <f t="shared" si="3"/>
        <v>306.14100000000002</v>
      </c>
      <c r="AG63">
        <f t="shared" si="4"/>
        <v>17.195</v>
      </c>
    </row>
    <row r="64" spans="1:33" x14ac:dyDescent="0.35">
      <c r="A64" s="1">
        <v>62</v>
      </c>
      <c r="B64" t="s">
        <v>170</v>
      </c>
      <c r="C64" t="s">
        <v>171</v>
      </c>
      <c r="D64" t="s">
        <v>172</v>
      </c>
      <c r="E64">
        <v>40.453243000000001</v>
      </c>
      <c r="F64">
        <v>-3.727058</v>
      </c>
      <c r="G64">
        <v>677.79998799999998</v>
      </c>
      <c r="H64">
        <v>0</v>
      </c>
      <c r="I64">
        <v>0</v>
      </c>
      <c r="J64" s="8">
        <v>203.845</v>
      </c>
      <c r="K64" s="8">
        <v>153.46199999999999</v>
      </c>
      <c r="L64">
        <v>87.120743000000004</v>
      </c>
      <c r="M64">
        <v>15</v>
      </c>
      <c r="N64" s="7">
        <v>44.32</v>
      </c>
      <c r="O64" s="7">
        <v>39.999000000000002</v>
      </c>
      <c r="P64">
        <v>267.120743</v>
      </c>
      <c r="Q64">
        <v>45</v>
      </c>
      <c r="R64" s="7">
        <v>575.65099999999995</v>
      </c>
      <c r="S64" s="7">
        <v>586.25199999999995</v>
      </c>
      <c r="T64">
        <v>177.120743</v>
      </c>
      <c r="U64">
        <v>90</v>
      </c>
      <c r="V64" s="9">
        <v>316.09699999999998</v>
      </c>
      <c r="W64" s="9">
        <v>621.82399999999996</v>
      </c>
      <c r="X64">
        <v>357.120743</v>
      </c>
      <c r="Y64">
        <v>90</v>
      </c>
      <c r="Z64" s="7">
        <v>37.966999999999999</v>
      </c>
      <c r="AA64" s="7">
        <v>55.622</v>
      </c>
      <c r="AC64">
        <f t="shared" si="0"/>
        <v>50.38300000000001</v>
      </c>
      <c r="AD64">
        <f t="shared" si="1"/>
        <v>4.320999999999998</v>
      </c>
      <c r="AE64">
        <f t="shared" si="2"/>
        <v>10.600999999999999</v>
      </c>
      <c r="AF64">
        <f t="shared" si="3"/>
        <v>305.72699999999998</v>
      </c>
      <c r="AG64">
        <f t="shared" si="4"/>
        <v>17.655000000000001</v>
      </c>
    </row>
    <row r="65" spans="1:33" x14ac:dyDescent="0.35">
      <c r="A65" s="1">
        <v>63</v>
      </c>
      <c r="B65" t="s">
        <v>173</v>
      </c>
      <c r="C65" t="s">
        <v>171</v>
      </c>
      <c r="D65" t="s">
        <v>172</v>
      </c>
      <c r="E65">
        <v>40.453243000000001</v>
      </c>
      <c r="F65">
        <v>-3.727058</v>
      </c>
      <c r="G65">
        <v>677.79998799999998</v>
      </c>
      <c r="H65">
        <v>0</v>
      </c>
      <c r="I65">
        <v>0</v>
      </c>
      <c r="J65" s="8">
        <v>202.774</v>
      </c>
      <c r="K65" s="8">
        <v>152.60599999999999</v>
      </c>
      <c r="L65">
        <v>87.108565999999996</v>
      </c>
      <c r="M65">
        <v>15</v>
      </c>
      <c r="N65" s="7">
        <v>43.491</v>
      </c>
      <c r="O65" s="7">
        <v>45.012</v>
      </c>
      <c r="P65">
        <v>267.108566</v>
      </c>
      <c r="Q65">
        <v>45</v>
      </c>
      <c r="R65" s="7">
        <v>574.27099999999996</v>
      </c>
      <c r="S65" s="7">
        <v>583.96799999999996</v>
      </c>
      <c r="T65">
        <v>177.108566</v>
      </c>
      <c r="U65">
        <v>90</v>
      </c>
      <c r="V65" s="9">
        <v>314.62599999999998</v>
      </c>
      <c r="W65" s="9">
        <v>619.69399999999996</v>
      </c>
      <c r="X65">
        <v>357.108566</v>
      </c>
      <c r="Y65">
        <v>90</v>
      </c>
      <c r="Z65" s="7">
        <v>37.817</v>
      </c>
      <c r="AA65" s="7">
        <v>55.725000000000001</v>
      </c>
      <c r="AC65">
        <f t="shared" si="0"/>
        <v>50.168000000000006</v>
      </c>
      <c r="AD65">
        <f t="shared" si="1"/>
        <v>1.5210000000000008</v>
      </c>
      <c r="AE65">
        <f t="shared" si="2"/>
        <v>9.6970000000000027</v>
      </c>
      <c r="AF65">
        <f t="shared" si="3"/>
        <v>305.06799999999998</v>
      </c>
      <c r="AG65">
        <f t="shared" si="4"/>
        <v>17.908000000000001</v>
      </c>
    </row>
    <row r="66" spans="1:33" x14ac:dyDescent="0.35">
      <c r="AC66">
        <f>GEOMEAN(AC2:AC65)</f>
        <v>19.298441624400343</v>
      </c>
      <c r="AD66">
        <f>GEOMEAN(AD2:AD65)</f>
        <v>15.173546424887851</v>
      </c>
      <c r="AE66">
        <f>GEOMEAN(AE2:AE65)</f>
        <v>21.687893605389775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2022-05-03T09:33:36Z</dcterms:created>
  <dcterms:modified xsi:type="dcterms:W3CDTF">2022-05-03T15:18:09Z</dcterms:modified>
</cp:coreProperties>
</file>